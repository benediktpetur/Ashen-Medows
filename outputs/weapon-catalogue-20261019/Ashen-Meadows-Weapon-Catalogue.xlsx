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c5c27e3fe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apons" sheetId="1" r:id="R8fa84146671c48da"/>
    <x:sheet xmlns:r="http://schemas.openxmlformats.org/officeDocument/2006/relationships" name="Crafting" sheetId="2" r:id="Rb8336bd964524a34"/>
    <x:sheet xmlns:r="http://schemas.openxmlformats.org/officeDocument/2006/relationships" name="Attachments" sheetId="3" r:id="R936a5e6859ed461a"/>
    <x:sheet xmlns:r="http://schemas.openxmlformats.org/officeDocument/2006/relationships" name="Soulbound" sheetId="4" r:id="Rd0ab04e45bda4911"/>
    <x:sheet xmlns:r="http://schemas.openxmlformats.org/officeDocument/2006/relationships" name="Utility tools" sheetId="5" r:id="R919d49faf2c248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12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26332C"/>
      <x:name val="Arial"/>
    </x:font>
    <x:font>
      <x:sz val="16"/>
      <x:color rgb="FF26332C"/>
      <x:name val="Arial"/>
    </x:font>
    <x:font>
      <x:b/>
      <x:sz val="16"/>
      <x:color rgb="FF26332C"/>
      <x:name val="Arial"/>
    </x:font>
    <x:font>
      <x:i/>
      <x:sz val="10"/>
      <x:color rgb="FF26332C"/>
      <x:name val="Arial"/>
    </x:font>
    <x:font>
      <x:i/>
      <x:sz val="10"/>
      <x:color rgb="FF59665E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0"/>
      <x:name val="Carlito"/>
    </x:font>
    <x:font>
      <x:sz val="10"/>
      <x:color rgb="FF59665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2F5F1"/>
      </x:patternFill>
    </x:fill>
    <x:fill>
      <x:patternFill patternType="solid">
        <x:fgColor rgb="FF26332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59A60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1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3" borderId="0" xfId="0" applyNumberFormat="1" applyFont="1" applyFill="1" applyBorder="1"/>
    <x:xf numFmtId="0" fontId="8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201" fontId="3" fillId="2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48f6255874fb6" /><Relationship Type="http://schemas.openxmlformats.org/officeDocument/2006/relationships/theme" Target="/xl/theme/theme1.xml" Id="R30eaeab732ab49bb" /><Relationship Type="http://schemas.openxmlformats.org/officeDocument/2006/relationships/sharedStrings" Target="/xl/sharedStrings.xml" Id="R1aecb5e340404f88" /><Relationship Type="http://schemas.openxmlformats.org/officeDocument/2006/relationships/worksheet" Target="/xl/worksheets/sheet1.xml" Id="R8fa84146671c48da" /><Relationship Type="http://schemas.openxmlformats.org/officeDocument/2006/relationships/worksheet" Target="/xl/worksheets/sheet2.xml" Id="Rb8336bd964524a34" /><Relationship Type="http://schemas.openxmlformats.org/officeDocument/2006/relationships/worksheet" Target="/xl/worksheets/sheet3.xml" Id="R936a5e6859ed461a" /><Relationship Type="http://schemas.openxmlformats.org/officeDocument/2006/relationships/worksheet" Target="/xl/worksheets/sheet4.xml" Id="Rd0ab04e45bda4911" /><Relationship Type="http://schemas.openxmlformats.org/officeDocument/2006/relationships/worksheet" Target="/xl/worksheets/sheet5.xml" Id="R919d49faf2c2481f" /></Relationships>
</file>

<file path=xl/tables/table1.xml><?xml version="1.0" encoding="utf-8"?>
<x:table xmlns:x="http://schemas.openxmlformats.org/spreadsheetml/2006/main" id="1" name="WeaponsTable" displayName="WeaponsTable" ref="A7:P41" headerRowCount="1" totalsRowCount="0" totalsRowShown="0">
  <x:autoFilter ref="A7:P41"/>
  <x:tableColumns count="16">
    <x:tableColumn id="1" name="ID"/>
    <x:tableColumn id="2" name="Weapon"/>
    <x:tableColumn id="3" name="Class"/>
    <x:tableColumn id="4" name="Tier"/>
    <x:tableColumn id="5" name="Raw damage"/>
    <x:tableColumn id="6" name="Body damage"/>
    <x:tableColumn id="7" name="Head damage"/>
    <x:tableColumn id="8" name="Cycle (s)"/>
    <x:tableColumn id="9" name="Reach / limit (m)"/>
    <x:tableColumn id="10" name="Magazine"/>
    <x:tableColumn id="11" name="Reload (s)"/>
    <x:tableColumn id="12" name="Ammo / fuel"/>
    <x:tableColumn id="13" name="Stamina / hit"/>
    <x:tableColumn id="14" name="Noise radius (m)"/>
    <x:tableColumn id="15" name="Acquisition"/>
    <x:tableColumn id="16" name="Combat note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raftingTable" displayName="CraftingTable" ref="A7:R41" headerRowCount="1" totalsRowCount="0" totalsRowShown="0">
  <x:autoFilter ref="A7:R41"/>
  <x:tableColumns count="18">
    <x:tableColumn id="1" name="ID"/>
    <x:tableColumn id="2" name="Weapon"/>
    <x:tableColumn id="3" name="Weapon tier"/>
    <x:tableColumn id="4" name="Recipe tier"/>
    <x:tableColumn id="5" name="Workshop"/>
    <x:tableColumn id="6" name="Research points"/>
    <x:tableColumn id="7" name="Crafting level"/>
    <x:tableColumn id="8" name="Character level"/>
    <x:tableColumn id="9" name="Research family"/>
    <x:tableColumn id="10" name="Prerequisite blueprint"/>
    <x:tableColumn id="11" name="Timber"/>
    <x:tableColumn id="12" name="Stone"/>
    <x:tableColumn id="13" name="Fiber"/>
    <x:tableColumn id="14" name="Forest resin"/>
    <x:tableColumn id="15" name="Alloy scrap"/>
    <x:tableColumn id="16" name="Electronics"/>
    <x:tableColumn id="17" name="Bioalloy"/>
    <x:tableColumn id="18" name="Availability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AttachmentsTable" displayName="AttachmentsTable" ref="A7:M19" headerRowCount="1" totalsRowCount="0" totalsRowShown="0">
  <x:autoFilter ref="A7:M19"/>
  <x:tableColumns count="13">
    <x:tableColumn id="1" name="Attachment"/>
    <x:tableColumn id="2" name="Slot"/>
    <x:tableColumn id="3" name="Tier / RP"/>
    <x:tableColumn id="4" name="Research family"/>
    <x:tableColumn id="5" name="Effect"/>
    <x:tableColumn id="6" name="Compatible weapons"/>
    <x:tableColumn id="7" name="Timber"/>
    <x:tableColumn id="8" name="Stone"/>
    <x:tableColumn id="9" name="Fiber"/>
    <x:tableColumn id="10" name="Forest resin"/>
    <x:tableColumn id="11" name="Alloy scrap"/>
    <x:tableColumn id="12" name="Electronics"/>
    <x:tableColumn id="13" name="Bioalloy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SoulboundTable" displayName="SoulboundTable" ref="A7:F19" headerRowCount="1" totalsRowCount="0" totalsRowShown="0">
  <x:autoFilter ref="A7:F19"/>
  <x:tableColumns count="6">
    <x:tableColumn id="1" name="Archetype"/>
    <x:tableColumn id="2" name="Rolled stat"/>
    <x:tableColumn id="3" name="Minimum"/>
    <x:tableColumn id="4" name="Maximum"/>
    <x:tableColumn id="5" name="Gun meaning"/>
    <x:tableColumn id="6" name="Bow / melee meaning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UtilitytoolsTable" displayName="UtilitytoolsTable" ref="A7:I10" headerRowCount="1" totalsRowCount="0" totalsRowShown="0">
  <x:autoFilter ref="A7:I10"/>
  <x:tableColumns count="9">
    <x:tableColumn id="1" name="Tool"/>
    <x:tableColumn id="2" name="Purpose"/>
    <x:tableColumn id="3" name="Tier"/>
    <x:tableColumn id="4" name="Workshop"/>
    <x:tableColumn id="5" name="Timber"/>
    <x:tableColumn id="6" name="Stone"/>
    <x:tableColumn id="7" name="Fiber"/>
    <x:tableColumn id="8" name="Benefit"/>
    <x:tableColumn id="9" name="Trade-off / us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211303121245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24010bab7d43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1fba740e0484d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08aadd608d148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1939a9221754e79" /></Relationships>
</file>

<file path=xl/worksheets/sheet1.xml><?xml version="1.0" encoding="utf-8"?>
<x:worksheet xmlns:x="http://schemas.openxmlformats.org/spreadsheetml/2006/main">
  <x:sheetPr>
    <x:tabColor rgb="FF26332C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" hidden="0" customWidth="1"/>
    <x:col min="2" max="2" width="29" hidden="0" customWidth="1"/>
    <x:col min="3" max="3" width="12" hidden="0" customWidth="1"/>
    <x:col min="4" max="4" width="8" hidden="0" customWidth="1"/>
    <x:col min="5" max="5" width="13" hidden="0" customWidth="1"/>
    <x:col min="6" max="6" width="14" hidden="0" customWidth="1"/>
    <x:col min="7" max="7" width="14" hidden="0" customWidth="1"/>
    <x:col min="8" max="8" width="13" hidden="0" customWidth="1"/>
    <x:col min="9" max="9" width="20" hidden="0" customWidth="1"/>
    <x:col min="10" max="10" width="13" hidden="0" customWidth="1"/>
    <x:col min="11" max="11" width="13" hidden="0" customWidth="1"/>
    <x:col min="12" max="12" width="34" hidden="0" customWidth="1"/>
    <x:col min="13" max="13" width="17" hidden="0" customWidth="1"/>
    <x:col min="14" max="14" width="20" hidden="0" customWidth="1"/>
    <x:col min="15" max="15" width="32" hidden="0" customWidth="1"/>
    <x:col min="16" max="16" width="7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5" t="str">
        <x:v>Ashen Meadows weapon catalogue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>
      <x:c r="A4" s="8" t="str">
        <x:v>Current rules: 19 October 2026. Proficiency level 1; no talents, quality, attachments or Soulbound bonuses.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 ht="36" customHeight="1">
      <x:c r="A7" s="14" t="str">
        <x:v>ID</x:v>
      </x:c>
      <x:c r="B7" s="14" t="str">
        <x:v>Weapon</x:v>
      </x:c>
      <x:c r="C7" s="14" t="str">
        <x:v>Class</x:v>
      </x:c>
      <x:c r="D7" s="14" t="str">
        <x:v>Tier</x:v>
      </x:c>
      <x:c r="E7" s="14" t="str">
        <x:v>Raw damage</x:v>
      </x:c>
      <x:c r="F7" s="14" t="str">
        <x:v>Body damage</x:v>
      </x:c>
      <x:c r="G7" s="14" t="str">
        <x:v>Head damage</x:v>
      </x:c>
      <x:c r="H7" s="14" t="str">
        <x:v>Cycle (s)</x:v>
      </x:c>
      <x:c r="I7" s="14" t="str">
        <x:v>Reach / limit (m)</x:v>
      </x:c>
      <x:c r="J7" s="14" t="str">
        <x:v>Magazine</x:v>
      </x:c>
      <x:c r="K7" s="14" t="str">
        <x:v>Reload (s)</x:v>
      </x:c>
      <x:c r="L7" s="14" t="str">
        <x:v>Ammo / fuel</x:v>
      </x:c>
      <x:c r="M7" s="14" t="str">
        <x:v>Stamina / hit</x:v>
      </x:c>
      <x:c r="N7" s="14" t="str">
        <x:v>Noise radius (m)</x:v>
      </x:c>
      <x:c r="O7" s="14" t="str">
        <x:v>Acquisition</x:v>
      </x:c>
      <x:c r="P7" s="14" t="str">
        <x:v>Combat notes</x:v>
      </x:c>
    </x:row>
    <x:row r="8" ht="48" customHeight="1">
      <x:c r="A8" s="15" t="n">
        <x:v>0</x:v>
      </x:c>
      <x:c r="B8" s="15" t="str">
        <x:v>Trail pistol</x:v>
      </x:c>
      <x:c r="C8" s="15" t="str">
        <x:v>Gun</x:v>
      </x:c>
      <x:c r="D8" s="15" t="n">
        <x:v>2</x:v>
      </x:c>
      <x:c r="E8" s="17" t="n">
        <x:v>28</x:v>
      </x:c>
      <x:c r="F8" s="17" t="n">
        <x:f>E8*(1+MAX(0,D8-1)*20%)</x:f>
        <x:v>33.6</x:v>
      </x:c>
      <x:c r="G8" s="17" t="n">
        <x:f>IF(C8="Melee","n.a.",F8*2)</x:f>
        <x:v>67.2</x:v>
      </x:c>
      <x:c r="H8" s="17" t="n">
        <x:v>0.32</x:v>
      </x:c>
      <x:c r="I8" s="17" t="n">
        <x:v>100</x:v>
      </x:c>
      <x:c r="J8" s="15" t="n">
        <x:v>12</x:v>
      </x:c>
      <x:c r="K8" s="17" t="n">
        <x:v>1.4</x:v>
      </x:c>
      <x:c r="L8" s="15" t="str">
        <x:v>9mm pistol rounds</x:v>
      </x:c>
      <x:c r="M8" s="15" t="str">
        <x:v>n.a.</x:v>
      </x:c>
      <x:c r="N8" s="15" t="n">
        <x:v>55</x:v>
      </x:c>
      <x:c r="O8" s="15" t="str">
        <x:v>Crafting</x:v>
      </x:c>
      <x:c r="P8" s="19" t="str"/>
    </x:row>
    <x:row r="9" ht="48" customHeight="1">
      <x:c r="A9" s="16" t="n">
        <x:v>1</x:v>
      </x:c>
      <x:c r="B9" s="16" t="str">
        <x:v>Trail rifle</x:v>
      </x:c>
      <x:c r="C9" s="16" t="str">
        <x:v>Gun</x:v>
      </x:c>
      <x:c r="D9" s="16" t="n">
        <x:v>2</x:v>
      </x:c>
      <x:c r="E9" s="18" t="n">
        <x:v>52</x:v>
      </x:c>
      <x:c r="F9" s="18" t="n">
        <x:f>E9*(1+MAX(0,D9-1)*20%)</x:f>
        <x:v>62.4</x:v>
      </x:c>
      <x:c r="G9" s="18" t="n">
        <x:f>IF(C9="Melee","n.a.",F9*2)</x:f>
        <x:v>124.8</x:v>
      </x:c>
      <x:c r="H9" s="18" t="n">
        <x:v>0.7</x:v>
      </x:c>
      <x:c r="I9" s="18" t="n">
        <x:v>100</x:v>
      </x:c>
      <x:c r="J9" s="16" t="n">
        <x:v>6</x:v>
      </x:c>
      <x:c r="K9" s="18" t="n">
        <x:v>1.4</x:v>
      </x:c>
      <x:c r="L9" s="16" t="str">
        <x:v>7.62mm rifle rounds</x:v>
      </x:c>
      <x:c r="M9" s="16" t="str">
        <x:v>n.a.</x:v>
      </x:c>
      <x:c r="N9" s="16" t="n">
        <x:v>90</x:v>
      </x:c>
      <x:c r="O9" s="16" t="str">
        <x:v>Soulbound boss drop; no recipe</x:v>
      </x:c>
      <x:c r="P9" s="20" t="str"/>
    </x:row>
    <x:row r="10" ht="48" customHeight="1">
      <x:c r="A10" s="15" t="n">
        <x:v>2</x:v>
      </x:c>
      <x:c r="B10" s="15" t="str">
        <x:v>Woodland rifle</x:v>
      </x:c>
      <x:c r="C10" s="15" t="str">
        <x:v>Gun</x:v>
      </x:c>
      <x:c r="D10" s="15" t="n">
        <x:v>2</x:v>
      </x:c>
      <x:c r="E10" s="17" t="n">
        <x:v>52</x:v>
      </x:c>
      <x:c r="F10" s="17" t="n">
        <x:f>E10*(1+MAX(0,D10-1)*20%)</x:f>
        <x:v>62.4</x:v>
      </x:c>
      <x:c r="G10" s="17" t="n">
        <x:f>IF(C10="Melee","n.a.",F10*2)</x:f>
        <x:v>124.8</x:v>
      </x:c>
      <x:c r="H10" s="17" t="n">
        <x:v>0.7</x:v>
      </x:c>
      <x:c r="I10" s="17" t="n">
        <x:v>100</x:v>
      </x:c>
      <x:c r="J10" s="15" t="n">
        <x:v>6</x:v>
      </x:c>
      <x:c r="K10" s="17" t="n">
        <x:v>1.4</x:v>
      </x:c>
      <x:c r="L10" s="15" t="str">
        <x:v>7.62mm rifle rounds</x:v>
      </x:c>
      <x:c r="M10" s="15" t="str">
        <x:v>n.a.</x:v>
      </x:c>
      <x:c r="N10" s="15" t="n">
        <x:v>90</x:v>
      </x:c>
      <x:c r="O10" s="15" t="str">
        <x:v>Crafting + enemy loot</x:v>
      </x:c>
      <x:c r="P10" s="19" t="str"/>
    </x:row>
    <x:row r="11" ht="48" customHeight="1">
      <x:c r="A11" s="16" t="n">
        <x:v>3</x:v>
      </x:c>
      <x:c r="B11" s="16" t="str">
        <x:v>Industrial carbine</x:v>
      </x:c>
      <x:c r="C11" s="16" t="str">
        <x:v>Gun</x:v>
      </x:c>
      <x:c r="D11" s="16" t="n">
        <x:v>3</x:v>
      </x:c>
      <x:c r="E11" s="18" t="n">
        <x:v>30</x:v>
      </x:c>
      <x:c r="F11" s="18" t="n">
        <x:f>E11*(1+MAX(0,D11-1)*20%)</x:f>
        <x:v>42</x:v>
      </x:c>
      <x:c r="G11" s="18" t="n">
        <x:f>IF(C11="Melee","n.a.",F11*2)</x:f>
        <x:v>84</x:v>
      </x:c>
      <x:c r="H11" s="18" t="n">
        <x:v>0.14</x:v>
      </x:c>
      <x:c r="I11" s="18" t="n">
        <x:v>100</x:v>
      </x:c>
      <x:c r="J11" s="16" t="n">
        <x:v>24</x:v>
      </x:c>
      <x:c r="K11" s="18" t="n">
        <x:v>1.4</x:v>
      </x:c>
      <x:c r="L11" s="16" t="str">
        <x:v>5.56mm carbine rounds</x:v>
      </x:c>
      <x:c r="M11" s="16" t="str">
        <x:v>n.a.</x:v>
      </x:c>
      <x:c r="N11" s="16" t="n">
        <x:v>90</x:v>
      </x:c>
      <x:c r="O11" s="16" t="str">
        <x:v>Crafting + enemy loot</x:v>
      </x:c>
      <x:c r="P11" s="20" t="str">
        <x:v>Automatic fire.</x:v>
      </x:c>
    </x:row>
    <x:row r="12" ht="48" customHeight="1">
      <x:c r="A12" s="15" t="n">
        <x:v>4</x:v>
      </x:c>
      <x:c r="B12" s="15" t="str">
        <x:v>Precision rifle</x:v>
      </x:c>
      <x:c r="C12" s="15" t="str">
        <x:v>Gun</x:v>
      </x:c>
      <x:c r="D12" s="15" t="n">
        <x:v>4</x:v>
      </x:c>
      <x:c r="E12" s="17" t="n">
        <x:v>52</x:v>
      </x:c>
      <x:c r="F12" s="17" t="n">
        <x:f>E12*(1+MAX(0,D12-1)*20%)</x:f>
        <x:v>83.2</x:v>
      </x:c>
      <x:c r="G12" s="17" t="n">
        <x:f>IF(C12="Melee","n.a.",F12*2)</x:f>
        <x:v>166.4</x:v>
      </x:c>
      <x:c r="H12" s="17" t="n">
        <x:v>0.7</x:v>
      </x:c>
      <x:c r="I12" s="17" t="n">
        <x:v>100</x:v>
      </x:c>
      <x:c r="J12" s="15" t="n">
        <x:v>6</x:v>
      </x:c>
      <x:c r="K12" s="17" t="n">
        <x:v>1.4</x:v>
      </x:c>
      <x:c r="L12" s="15" t="str">
        <x:v>7.62mm rifle rounds</x:v>
      </x:c>
      <x:c r="M12" s="15" t="str">
        <x:v>n.a.</x:v>
      </x:c>
      <x:c r="N12" s="15" t="n">
        <x:v>90</x:v>
      </x:c>
      <x:c r="O12" s="15" t="str">
        <x:v>Crafting + enemy loot</x:v>
      </x:c>
      <x:c r="P12" s="19" t="str"/>
    </x:row>
    <x:row r="13" ht="48" customHeight="1">
      <x:c r="A13" s="16" t="n">
        <x:v>5</x:v>
      </x:c>
      <x:c r="B13" s="16" t="str">
        <x:v>Experimental rifle</x:v>
      </x:c>
      <x:c r="C13" s="16" t="str">
        <x:v>Gun</x:v>
      </x:c>
      <x:c r="D13" s="16" t="n">
        <x:v>5</x:v>
      </x:c>
      <x:c r="E13" s="18" t="n">
        <x:v>52</x:v>
      </x:c>
      <x:c r="F13" s="18" t="n">
        <x:f>E13*(1+MAX(0,D13-1)*20%)</x:f>
        <x:v>93.60000000000001</x:v>
      </x:c>
      <x:c r="G13" s="18" t="n">
        <x:f>IF(C13="Melee","n.a.",F13*2)</x:f>
        <x:v>187.20000000000002</x:v>
      </x:c>
      <x:c r="H13" s="18" t="n">
        <x:v>0.7</x:v>
      </x:c>
      <x:c r="I13" s="18" t="n">
        <x:v>100</x:v>
      </x:c>
      <x:c r="J13" s="16" t="n">
        <x:v>6</x:v>
      </x:c>
      <x:c r="K13" s="18" t="n">
        <x:v>1.4</x:v>
      </x:c>
      <x:c r="L13" s="16" t="str">
        <x:v>Energy cells</x:v>
      </x:c>
      <x:c r="M13" s="16" t="str">
        <x:v>n.a.</x:v>
      </x:c>
      <x:c r="N13" s="16" t="n">
        <x:v>90</x:v>
      </x:c>
      <x:c r="O13" s="16" t="str">
        <x:v>Crafting + enemy loot</x:v>
      </x:c>
      <x:c r="P13" s="20" t="str"/>
    </x:row>
    <x:row r="14" ht="48" customHeight="1">
      <x:c r="A14" s="15" t="n">
        <x:v>6</x:v>
      </x:c>
      <x:c r="B14" s="15" t="str">
        <x:v>Woodland bow</x:v>
      </x:c>
      <x:c r="C14" s="15" t="str">
        <x:v>Bow</x:v>
      </x:c>
      <x:c r="D14" s="15" t="n">
        <x:v>2</x:v>
      </x:c>
      <x:c r="E14" s="17" t="n">
        <x:v>38</x:v>
      </x:c>
      <x:c r="F14" s="17" t="n">
        <x:f>E14*(1+MAX(0,D14-1)*20%)</x:f>
        <x:v>45.6</x:v>
      </x:c>
      <x:c r="G14" s="17" t="n">
        <x:f>IF(C14="Melee","n.a.",F14*2)</x:f>
        <x:v>91.2</x:v>
      </x:c>
      <x:c r="H14" s="17" t="n">
        <x:v>0.8</x:v>
      </x:c>
      <x:c r="I14" s="17" t="str">
        <x:v>Projectile</x:v>
      </x:c>
      <x:c r="J14" s="15" t="str">
        <x:v>n.a.</x:v>
      </x:c>
      <x:c r="K14" s="17" t="str">
        <x:v>n.a.</x:v>
      </x:c>
      <x:c r="L14" s="15" t="str">
        <x:v>1 arrow</x:v>
      </x:c>
      <x:c r="M14" s="15" t="str">
        <x:v>n.a.</x:v>
      </x:c>
      <x:c r="N14" s="15" t="n">
        <x:v>12</x:v>
      </x:c>
      <x:c r="O14" s="15" t="str">
        <x:v>Crafting</x:v>
      </x:c>
      <x:c r="P14" s="19" t="str">
        <x:v>Projectile: 38 m/s; 4s lifetime; gravity 9 m/s².</x:v>
      </x:c>
    </x:row>
    <x:row r="15" ht="48" customHeight="1">
      <x:c r="A15" s="16" t="n">
        <x:v>7</x:v>
      </x:c>
      <x:c r="B15" s="16" t="str">
        <x:v>Scrap shotgun</x:v>
      </x:c>
      <x:c r="C15" s="16" t="str">
        <x:v>Gun</x:v>
      </x:c>
      <x:c r="D15" s="16" t="n">
        <x:v>3</x:v>
      </x:c>
      <x:c r="E15" s="18" t="n">
        <x:v>14</x:v>
      </x:c>
      <x:c r="F15" s="18" t="n">
        <x:f>E15*(1+MAX(0,D15-1)*20%)</x:f>
        <x:v>19.599999999999998</x:v>
      </x:c>
      <x:c r="G15" s="18" t="n">
        <x:f>IF(C15="Melee","n.a.",F15*2)</x:f>
        <x:v>39.199999999999996</x:v>
      </x:c>
      <x:c r="H15" s="18" t="n">
        <x:v>0.9</x:v>
      </x:c>
      <x:c r="I15" s="18" t="n">
        <x:v>45</x:v>
      </x:c>
      <x:c r="J15" s="16" t="n">
        <x:v>2</x:v>
      </x:c>
      <x:c r="K15" s="18" t="n">
        <x:v>1.4</x:v>
      </x:c>
      <x:c r="L15" s="16" t="str">
        <x:v>12-gauge shells</x:v>
      </x:c>
      <x:c r="M15" s="16" t="str">
        <x:v>n.a.</x:v>
      </x:c>
      <x:c r="N15" s="16" t="n">
        <x:v>90</x:v>
      </x:c>
      <x:c r="O15" s="16" t="str">
        <x:v>Crafting</x:v>
      </x:c>
      <x:c r="P15" s="20" t="str">
        <x:v>6 pellets; damage columns are per pellet.</x:v>
      </x:c>
    </x:row>
    <x:row r="16" ht="48" customHeight="1">
      <x:c r="A16" s="15" t="n">
        <x:v>8</x:v>
      </x:c>
      <x:c r="B16" s="15" t="str">
        <x:v>Sturdy stick</x:v>
      </x:c>
      <x:c r="C16" s="15" t="str">
        <x:v>Melee</x:v>
      </x:c>
      <x:c r="D16" s="15" t="n">
        <x:v>1</x:v>
      </x:c>
      <x:c r="E16" s="17" t="n">
        <x:v>12</x:v>
      </x:c>
      <x:c r="F16" s="17" t="n">
        <x:f>E16*(1+MAX(0,D16-1)*20%)</x:f>
        <x:v>12</x:v>
      </x:c>
      <x:c r="G16" s="17" t="str">
        <x:f>IF(C16="Melee","n.a.",F16*2)</x:f>
        <x:v>n.a.</x:v>
      </x:c>
      <x:c r="H16" s="17" t="n">
        <x:v>0.7</x:v>
      </x:c>
      <x:c r="I16" s="17" t="n">
        <x:v>2.6</x:v>
      </x:c>
      <x:c r="J16" s="15" t="str">
        <x:v>n.a.</x:v>
      </x:c>
      <x:c r="K16" s="17" t="str">
        <x:v>n.a.</x:v>
      </x:c>
      <x:c r="L16" s="15" t="str">
        <x:v>None</x:v>
      </x:c>
      <x:c r="M16" s="15" t="n">
        <x:v>9</x:v>
      </x:c>
      <x:c r="N16" s="15" t="n">
        <x:v>5</x:v>
      </x:c>
      <x:c r="O16" s="15" t="str">
        <x:v>Starting equipment + crafting</x:v>
      </x:c>
      <x:c r="P16" s="19" t="str">
        <x:v>Melee resolves body contact, not headshots.</x:v>
      </x:c>
    </x:row>
    <x:row r="17" ht="48" customHeight="1">
      <x:c r="A17" s="16" t="n">
        <x:v>9</x:v>
      </x:c>
      <x:c r="B17" s="16" t="str">
        <x:v>Hand stone</x:v>
      </x:c>
      <x:c r="C17" s="16" t="str">
        <x:v>Melee</x:v>
      </x:c>
      <x:c r="D17" s="16" t="n">
        <x:v>1</x:v>
      </x:c>
      <x:c r="E17" s="18" t="n">
        <x:v>16</x:v>
      </x:c>
      <x:c r="F17" s="18" t="n">
        <x:f>E17*(1+MAX(0,D17-1)*20%)</x:f>
        <x:v>16</x:v>
      </x:c>
      <x:c r="G17" s="18" t="str">
        <x:f>IF(C17="Melee","n.a.",F17*2)</x:f>
        <x:v>n.a.</x:v>
      </x:c>
      <x:c r="H17" s="18" t="n">
        <x:v>0.65</x:v>
      </x:c>
      <x:c r="I17" s="18" t="n">
        <x:v>2</x:v>
      </x:c>
      <x:c r="J17" s="16" t="str">
        <x:v>n.a.</x:v>
      </x:c>
      <x:c r="K17" s="18" t="str">
        <x:v>n.a.</x:v>
      </x:c>
      <x:c r="L17" s="16" t="str">
        <x:v>None</x:v>
      </x:c>
      <x:c r="M17" s="16" t="n">
        <x:v>9</x:v>
      </x:c>
      <x:c r="N17" s="16" t="n">
        <x:v>5</x:v>
      </x:c>
      <x:c r="O17" s="16" t="str">
        <x:v>Starting equipment + crafting</x:v>
      </x:c>
      <x:c r="P17" s="20" t="str">
        <x:v>Melee resolves body contact, not headshots.</x:v>
      </x:c>
    </x:row>
    <x:row r="18" ht="48" customHeight="1">
      <x:c r="A18" s="15" t="n">
        <x:v>10</x:v>
      </x:c>
      <x:c r="B18" s="15" t="str">
        <x:v>Wooden club</x:v>
      </x:c>
      <x:c r="C18" s="15" t="str">
        <x:v>Melee</x:v>
      </x:c>
      <x:c r="D18" s="15" t="n">
        <x:v>1</x:v>
      </x:c>
      <x:c r="E18" s="17" t="n">
        <x:v>24</x:v>
      </x:c>
      <x:c r="F18" s="17" t="n">
        <x:f>E18*(1+MAX(0,D18-1)*20%)</x:f>
        <x:v>24</x:v>
      </x:c>
      <x:c r="G18" s="17" t="str">
        <x:f>IF(C18="Melee","n.a.",F18*2)</x:f>
        <x:v>n.a.</x:v>
      </x:c>
      <x:c r="H18" s="17" t="n">
        <x:v>0.7</x:v>
      </x:c>
      <x:c r="I18" s="17" t="n">
        <x:v>2.6</x:v>
      </x:c>
      <x:c r="J18" s="15" t="str">
        <x:v>n.a.</x:v>
      </x:c>
      <x:c r="K18" s="17" t="str">
        <x:v>n.a.</x:v>
      </x:c>
      <x:c r="L18" s="15" t="str">
        <x:v>None</x:v>
      </x:c>
      <x:c r="M18" s="15" t="n">
        <x:v>9</x:v>
      </x:c>
      <x:c r="N18" s="15" t="n">
        <x:v>5</x:v>
      </x:c>
      <x:c r="O18" s="15" t="str">
        <x:v>Crafting</x:v>
      </x:c>
      <x:c r="P18" s="19" t="str">
        <x:v>Melee resolves body contact, not headshots.</x:v>
      </x:c>
    </x:row>
    <x:row r="19" ht="48" customHeight="1">
      <x:c r="A19" s="16" t="n">
        <x:v>11</x:v>
      </x:c>
      <x:c r="B19" s="16" t="str">
        <x:v>Stone spear</x:v>
      </x:c>
      <x:c r="C19" s="16" t="str">
        <x:v>Melee</x:v>
      </x:c>
      <x:c r="D19" s="16" t="n">
        <x:v>1</x:v>
      </x:c>
      <x:c r="E19" s="18" t="n">
        <x:v>30</x:v>
      </x:c>
      <x:c r="F19" s="18" t="n">
        <x:f>E19*(1+MAX(0,D19-1)*20%)</x:f>
        <x:v>30</x:v>
      </x:c>
      <x:c r="G19" s="18" t="str">
        <x:f>IF(C19="Melee","n.a.",F19*2)</x:f>
        <x:v>n.a.</x:v>
      </x:c>
      <x:c r="H19" s="18" t="n">
        <x:v>0.85</x:v>
      </x:c>
      <x:c r="I19" s="18" t="n">
        <x:v>3.6</x:v>
      </x:c>
      <x:c r="J19" s="16" t="str">
        <x:v>n.a.</x:v>
      </x:c>
      <x:c r="K19" s="18" t="str">
        <x:v>n.a.</x:v>
      </x:c>
      <x:c r="L19" s="16" t="str">
        <x:v>None</x:v>
      </x:c>
      <x:c r="M19" s="16" t="n">
        <x:v>9</x:v>
      </x:c>
      <x:c r="N19" s="16" t="n">
        <x:v>5</x:v>
      </x:c>
      <x:c r="O19" s="16" t="str">
        <x:v>Crafting</x:v>
      </x:c>
      <x:c r="P19" s="20" t="str">
        <x:v>Melee resolves body contact, not headshots.</x:v>
      </x:c>
    </x:row>
    <x:row r="20" ht="48" customHeight="1">
      <x:c r="A20" s="15" t="n">
        <x:v>12</x:v>
      </x:c>
      <x:c r="B20" s="15" t="str">
        <x:v>Simple bow</x:v>
      </x:c>
      <x:c r="C20" s="15" t="str">
        <x:v>Bow</x:v>
      </x:c>
      <x:c r="D20" s="15" t="n">
        <x:v>1</x:v>
      </x:c>
      <x:c r="E20" s="17" t="n">
        <x:v>26</x:v>
      </x:c>
      <x:c r="F20" s="17" t="n">
        <x:f>E20*(1+MAX(0,D20-1)*20%)</x:f>
        <x:v>26</x:v>
      </x:c>
      <x:c r="G20" s="17" t="n">
        <x:f>IF(C20="Melee","n.a.",F20*2)</x:f>
        <x:v>52</x:v>
      </x:c>
      <x:c r="H20" s="17" t="n">
        <x:v>0.8</x:v>
      </x:c>
      <x:c r="I20" s="17" t="str">
        <x:v>Projectile</x:v>
      </x:c>
      <x:c r="J20" s="15" t="str">
        <x:v>n.a.</x:v>
      </x:c>
      <x:c r="K20" s="17" t="str">
        <x:v>n.a.</x:v>
      </x:c>
      <x:c r="L20" s="15" t="str">
        <x:v>1 arrow</x:v>
      </x:c>
      <x:c r="M20" s="15" t="str">
        <x:v>n.a.</x:v>
      </x:c>
      <x:c r="N20" s="15" t="n">
        <x:v>12</x:v>
      </x:c>
      <x:c r="O20" s="15" t="str">
        <x:v>Crafting</x:v>
      </x:c>
      <x:c r="P20" s="19" t="str">
        <x:v>Projectile: 38 m/s; 4s lifetime; gravity 9 m/s².</x:v>
      </x:c>
    </x:row>
    <x:row r="21" ht="48" customHeight="1">
      <x:c r="A21" s="16" t="n">
        <x:v>13</x:v>
      </x:c>
      <x:c r="B21" s="16" t="str">
        <x:v>Baseball bat</x:v>
      </x:c>
      <x:c r="C21" s="16" t="str">
        <x:v>Melee</x:v>
      </x:c>
      <x:c r="D21" s="16" t="n">
        <x:v>1</x:v>
      </x:c>
      <x:c r="E21" s="18" t="n">
        <x:v>32</x:v>
      </x:c>
      <x:c r="F21" s="18" t="n">
        <x:f>E21*(1+MAX(0,D21-1)*20%)</x:f>
        <x:v>32</x:v>
      </x:c>
      <x:c r="G21" s="18" t="str">
        <x:f>IF(C21="Melee","n.a.",F21*2)</x:f>
        <x:v>n.a.</x:v>
      </x:c>
      <x:c r="H21" s="18" t="n">
        <x:v>0.7</x:v>
      </x:c>
      <x:c r="I21" s="18" t="n">
        <x:v>2.6</x:v>
      </x:c>
      <x:c r="J21" s="16" t="str">
        <x:v>n.a.</x:v>
      </x:c>
      <x:c r="K21" s="18" t="str">
        <x:v>n.a.</x:v>
      </x:c>
      <x:c r="L21" s="16" t="str">
        <x:v>None</x:v>
      </x:c>
      <x:c r="M21" s="16" t="n">
        <x:v>9</x:v>
      </x:c>
      <x:c r="N21" s="16" t="n">
        <x:v>5</x:v>
      </x:c>
      <x:c r="O21" s="16" t="str">
        <x:v>Crafting</x:v>
      </x:c>
      <x:c r="P21" s="20" t="str">
        <x:v>Melee resolves body contact, not headshots.</x:v>
      </x:c>
    </x:row>
    <x:row r="22" ht="48" customHeight="1">
      <x:c r="A22" s="15" t="n">
        <x:v>14</x:v>
      </x:c>
      <x:c r="B22" s="15" t="str">
        <x:v>Claw hammer</x:v>
      </x:c>
      <x:c r="C22" s="15" t="str">
        <x:v>Melee</x:v>
      </x:c>
      <x:c r="D22" s="15" t="n">
        <x:v>2</x:v>
      </x:c>
      <x:c r="E22" s="17" t="n">
        <x:v>34</x:v>
      </x:c>
      <x:c r="F22" s="17" t="n">
        <x:f>E22*(1+MAX(0,D22-1)*20%)</x:f>
        <x:v>40.8</x:v>
      </x:c>
      <x:c r="G22" s="17" t="str">
        <x:f>IF(C22="Melee","n.a.",F22*2)</x:f>
        <x:v>n.a.</x:v>
      </x:c>
      <x:c r="H22" s="17" t="n">
        <x:v>0.7</x:v>
      </x:c>
      <x:c r="I22" s="17" t="n">
        <x:v>2</x:v>
      </x:c>
      <x:c r="J22" s="15" t="str">
        <x:v>n.a.</x:v>
      </x:c>
      <x:c r="K22" s="17" t="str">
        <x:v>n.a.</x:v>
      </x:c>
      <x:c r="L22" s="15" t="str">
        <x:v>None</x:v>
      </x:c>
      <x:c r="M22" s="15" t="n">
        <x:v>9</x:v>
      </x:c>
      <x:c r="N22" s="15" t="n">
        <x:v>5</x:v>
      </x:c>
      <x:c r="O22" s="15" t="str">
        <x:v>Crafting</x:v>
      </x:c>
      <x:c r="P22" s="19" t="str">
        <x:v>Melee resolves body contact, not headshots.</x:v>
      </x:c>
    </x:row>
    <x:row r="23" ht="48" customHeight="1">
      <x:c r="A23" s="16" t="n">
        <x:v>15</x:v>
      </x:c>
      <x:c r="B23" s="16" t="str">
        <x:v>Iron rod</x:v>
      </x:c>
      <x:c r="C23" s="16" t="str">
        <x:v>Melee</x:v>
      </x:c>
      <x:c r="D23" s="16" t="n">
        <x:v>2</x:v>
      </x:c>
      <x:c r="E23" s="18" t="n">
        <x:v>28</x:v>
      </x:c>
      <x:c r="F23" s="18" t="n">
        <x:f>E23*(1+MAX(0,D23-1)*20%)</x:f>
        <x:v>33.6</x:v>
      </x:c>
      <x:c r="G23" s="18" t="str">
        <x:f>IF(C23="Melee","n.a.",F23*2)</x:f>
        <x:v>n.a.</x:v>
      </x:c>
      <x:c r="H23" s="18" t="n">
        <x:v>0.7</x:v>
      </x:c>
      <x:c r="I23" s="18" t="n">
        <x:v>2.6</x:v>
      </x:c>
      <x:c r="J23" s="16" t="str">
        <x:v>n.a.</x:v>
      </x:c>
      <x:c r="K23" s="18" t="str">
        <x:v>n.a.</x:v>
      </x:c>
      <x:c r="L23" s="16" t="str">
        <x:v>None</x:v>
      </x:c>
      <x:c r="M23" s="16" t="n">
        <x:v>9</x:v>
      </x:c>
      <x:c r="N23" s="16" t="n">
        <x:v>5</x:v>
      </x:c>
      <x:c r="O23" s="16" t="str">
        <x:v>Crafting</x:v>
      </x:c>
      <x:c r="P23" s="20" t="str">
        <x:v>Melee resolves body contact, not headshots.</x:v>
      </x:c>
    </x:row>
    <x:row r="24" ht="48" customHeight="1">
      <x:c r="A24" s="15" t="n">
        <x:v>16</x:v>
      </x:c>
      <x:c r="B24" s="15" t="str">
        <x:v>Iron spear</x:v>
      </x:c>
      <x:c r="C24" s="15" t="str">
        <x:v>Melee</x:v>
      </x:c>
      <x:c r="D24" s="15" t="n">
        <x:v>2</x:v>
      </x:c>
      <x:c r="E24" s="17" t="n">
        <x:v>42</x:v>
      </x:c>
      <x:c r="F24" s="17" t="n">
        <x:f>E24*(1+MAX(0,D24-1)*20%)</x:f>
        <x:v>50.4</x:v>
      </x:c>
      <x:c r="G24" s="17" t="str">
        <x:f>IF(C24="Melee","n.a.",F24*2)</x:f>
        <x:v>n.a.</x:v>
      </x:c>
      <x:c r="H24" s="17" t="n">
        <x:v>0.85</x:v>
      </x:c>
      <x:c r="I24" s="17" t="n">
        <x:v>3.6</x:v>
      </x:c>
      <x:c r="J24" s="15" t="str">
        <x:v>n.a.</x:v>
      </x:c>
      <x:c r="K24" s="17" t="str">
        <x:v>n.a.</x:v>
      </x:c>
      <x:c r="L24" s="15" t="str">
        <x:v>None</x:v>
      </x:c>
      <x:c r="M24" s="15" t="n">
        <x:v>9</x:v>
      </x:c>
      <x:c r="N24" s="15" t="n">
        <x:v>5</x:v>
      </x:c>
      <x:c r="O24" s="15" t="str">
        <x:v>Crafting</x:v>
      </x:c>
      <x:c r="P24" s="19" t="str">
        <x:v>Melee resolves body contact, not headshots.</x:v>
      </x:c>
    </x:row>
    <x:row r="25" ht="48" customHeight="1">
      <x:c r="A25" s="16" t="n">
        <x:v>17</x:v>
      </x:c>
      <x:c r="B25" s="16" t="str">
        <x:v>Chainsaw</x:v>
      </x:c>
      <x:c r="C25" s="16" t="str">
        <x:v>Melee</x:v>
      </x:c>
      <x:c r="D25" s="16" t="n">
        <x:v>3</x:v>
      </x:c>
      <x:c r="E25" s="18" t="n">
        <x:v>18</x:v>
      </x:c>
      <x:c r="F25" s="18" t="n">
        <x:f>E25*(1+MAX(0,D25-1)*20%)</x:f>
        <x:v>25.2</x:v>
      </x:c>
      <x:c r="G25" s="18" t="str">
        <x:f>IF(C25="Melee","n.a.",F25*2)</x:f>
        <x:v>n.a.</x:v>
      </x:c>
      <x:c r="H25" s="18" t="n">
        <x:v>0.22</x:v>
      </x:c>
      <x:c r="I25" s="18" t="n">
        <x:v>2</x:v>
      </x:c>
      <x:c r="J25" s="16" t="str">
        <x:v>n.a.</x:v>
      </x:c>
      <x:c r="K25" s="18" t="str">
        <x:v>n.a.</x:v>
      </x:c>
      <x:c r="L25" s="16" t="str">
        <x:v>1 fuel / burst</x:v>
      </x:c>
      <x:c r="M25" s="16" t="n">
        <x:v>6</x:v>
      </x:c>
      <x:c r="N25" s="16" t="n">
        <x:v>65</x:v>
      </x:c>
      <x:c r="O25" s="16" t="str">
        <x:v>Crafting</x:v>
      </x:c>
      <x:c r="P25" s="20" t="str">
        <x:v>Melee resolves body contact, not headshots. Powered cutting bursts.</x:v>
      </x:c>
    </x:row>
    <x:row r="26" ht="48" customHeight="1">
      <x:c r="A26" s="15" t="n">
        <x:v>18</x:v>
      </x:c>
      <x:c r="B26" s="15" t="str">
        <x:v>Recurve bow</x:v>
      </x:c>
      <x:c r="C26" s="15" t="str">
        <x:v>Bow</x:v>
      </x:c>
      <x:c r="D26" s="15" t="n">
        <x:v>3</x:v>
      </x:c>
      <x:c r="E26" s="17" t="n">
        <x:v>48</x:v>
      </x:c>
      <x:c r="F26" s="17" t="n">
        <x:f>E26*(1+MAX(0,D26-1)*20%)</x:f>
        <x:v>67.19999999999999</x:v>
      </x:c>
      <x:c r="G26" s="17" t="n">
        <x:f>IF(C26="Melee","n.a.",F26*2)</x:f>
        <x:v>134.39999999999998</x:v>
      </x:c>
      <x:c r="H26" s="17" t="n">
        <x:v>0.8</x:v>
      </x:c>
      <x:c r="I26" s="17" t="str">
        <x:v>Projectile</x:v>
      </x:c>
      <x:c r="J26" s="15" t="str">
        <x:v>n.a.</x:v>
      </x:c>
      <x:c r="K26" s="17" t="str">
        <x:v>n.a.</x:v>
      </x:c>
      <x:c r="L26" s="15" t="str">
        <x:v>1 arrow</x:v>
      </x:c>
      <x:c r="M26" s="15" t="str">
        <x:v>n.a.</x:v>
      </x:c>
      <x:c r="N26" s="15" t="n">
        <x:v>12</x:v>
      </x:c>
      <x:c r="O26" s="15" t="str">
        <x:v>Crafting</x:v>
      </x:c>
      <x:c r="P26" s="19" t="str">
        <x:v>Projectile: 38 m/s; 4s lifetime; gravity 9 m/s².</x:v>
      </x:c>
    </x:row>
    <x:row r="27" ht="48" customHeight="1">
      <x:c r="A27" s="16" t="n">
        <x:v>19</x:v>
      </x:c>
      <x:c r="B27" s="16" t="str">
        <x:v>Crossbow</x:v>
      </x:c>
      <x:c r="C27" s="16" t="str">
        <x:v>Bow</x:v>
      </x:c>
      <x:c r="D27" s="16" t="n">
        <x:v>4</x:v>
      </x:c>
      <x:c r="E27" s="18" t="n">
        <x:v>62</x:v>
      </x:c>
      <x:c r="F27" s="18" t="n">
        <x:f>E27*(1+MAX(0,D27-1)*20%)</x:f>
        <x:v>99.2</x:v>
      </x:c>
      <x:c r="G27" s="18" t="n">
        <x:f>IF(C27="Melee","n.a.",F27*2)</x:f>
        <x:v>198.4</x:v>
      </x:c>
      <x:c r="H27" s="18" t="n">
        <x:v>0.8</x:v>
      </x:c>
      <x:c r="I27" s="18" t="str">
        <x:v>Projectile</x:v>
      </x:c>
      <x:c r="J27" s="16" t="str">
        <x:v>n.a.</x:v>
      </x:c>
      <x:c r="K27" s="18" t="str">
        <x:v>n.a.</x:v>
      </x:c>
      <x:c r="L27" s="16" t="str">
        <x:v>1 arrow</x:v>
      </x:c>
      <x:c r="M27" s="16" t="str">
        <x:v>n.a.</x:v>
      </x:c>
      <x:c r="N27" s="16" t="n">
        <x:v>12</x:v>
      </x:c>
      <x:c r="O27" s="16" t="str">
        <x:v>Crafting</x:v>
      </x:c>
      <x:c r="P27" s="20" t="str">
        <x:v>Projectile: 55 m/s; 4s lifetime; gravity 9 m/s².</x:v>
      </x:c>
    </x:row>
    <x:row r="28" ht="48" customHeight="1">
      <x:c r="A28" s="15" t="n">
        <x:v>20</x:v>
      </x:c>
      <x:c r="B28" s="15" t="str">
        <x:v>Machete</x:v>
      </x:c>
      <x:c r="C28" s="15" t="str">
        <x:v>Melee</x:v>
      </x:c>
      <x:c r="D28" s="15" t="n">
        <x:v>3</x:v>
      </x:c>
      <x:c r="E28" s="17" t="n">
        <x:v>48</x:v>
      </x:c>
      <x:c r="F28" s="17" t="n">
        <x:f>E28*(1+MAX(0,D28-1)*20%)</x:f>
        <x:v>67.19999999999999</x:v>
      </x:c>
      <x:c r="G28" s="17" t="str">
        <x:f>IF(C28="Melee","n.a.",F28*2)</x:f>
        <x:v>n.a.</x:v>
      </x:c>
      <x:c r="H28" s="17" t="n">
        <x:v>0.7</x:v>
      </x:c>
      <x:c r="I28" s="17" t="n">
        <x:v>2</x:v>
      </x:c>
      <x:c r="J28" s="15" t="str">
        <x:v>n.a.</x:v>
      </x:c>
      <x:c r="K28" s="17" t="str">
        <x:v>n.a.</x:v>
      </x:c>
      <x:c r="L28" s="15" t="str">
        <x:v>None</x:v>
      </x:c>
      <x:c r="M28" s="15" t="n">
        <x:v>9</x:v>
      </x:c>
      <x:c r="N28" s="15" t="n">
        <x:v>5</x:v>
      </x:c>
      <x:c r="O28" s="15" t="str">
        <x:v>Crafting</x:v>
      </x:c>
      <x:c r="P28" s="19" t="str">
        <x:v>Melee resolves body contact, not headshots.</x:v>
      </x:c>
    </x:row>
    <x:row r="29" ht="48" customHeight="1">
      <x:c r="A29" s="16" t="n">
        <x:v>21</x:v>
      </x:c>
      <x:c r="B29" s="16" t="str">
        <x:v>Sledgehammer</x:v>
      </x:c>
      <x:c r="C29" s="16" t="str">
        <x:v>Melee</x:v>
      </x:c>
      <x:c r="D29" s="16" t="n">
        <x:v>4</x:v>
      </x:c>
      <x:c r="E29" s="18" t="n">
        <x:v>65</x:v>
      </x:c>
      <x:c r="F29" s="18" t="n">
        <x:f>E29*(1+MAX(0,D29-1)*20%)</x:f>
        <x:v>104</x:v>
      </x:c>
      <x:c r="G29" s="18" t="str">
        <x:f>IF(C29="Melee","n.a.",F29*2)</x:f>
        <x:v>n.a.</x:v>
      </x:c>
      <x:c r="H29" s="18" t="n">
        <x:v>1.25</x:v>
      </x:c>
      <x:c r="I29" s="18" t="n">
        <x:v>2.6</x:v>
      </x:c>
      <x:c r="J29" s="16" t="str">
        <x:v>n.a.</x:v>
      </x:c>
      <x:c r="K29" s="18" t="str">
        <x:v>n.a.</x:v>
      </x:c>
      <x:c r="L29" s="16" t="str">
        <x:v>None</x:v>
      </x:c>
      <x:c r="M29" s="16" t="n">
        <x:v>18</x:v>
      </x:c>
      <x:c r="N29" s="16" t="n">
        <x:v>5</x:v>
      </x:c>
      <x:c r="O29" s="16" t="str">
        <x:v>Crafting</x:v>
      </x:c>
      <x:c r="P29" s="20" t="str">
        <x:v>Melee resolves body contact, not headshots.</x:v>
      </x:c>
    </x:row>
    <x:row r="30" ht="48" customHeight="1">
      <x:c r="A30" s="15" t="n">
        <x:v>22</x:v>
      </x:c>
      <x:c r="B30" s="15" t="str">
        <x:v>Stone knife</x:v>
      </x:c>
      <x:c r="C30" s="15" t="str">
        <x:v>Melee</x:v>
      </x:c>
      <x:c r="D30" s="15" t="n">
        <x:v>1</x:v>
      </x:c>
      <x:c r="E30" s="17" t="n">
        <x:v>20</x:v>
      </x:c>
      <x:c r="F30" s="17" t="n">
        <x:f>E30*(1+MAX(0,D30-1)*20%)</x:f>
        <x:v>20</x:v>
      </x:c>
      <x:c r="G30" s="17" t="str">
        <x:f>IF(C30="Melee","n.a.",F30*2)</x:f>
        <x:v>n.a.</x:v>
      </x:c>
      <x:c r="H30" s="17" t="n">
        <x:v>0.4</x:v>
      </x:c>
      <x:c r="I30" s="17" t="n">
        <x:v>1.65</x:v>
      </x:c>
      <x:c r="J30" s="15" t="str">
        <x:v>n.a.</x:v>
      </x:c>
      <x:c r="K30" s="17" t="str">
        <x:v>n.a.</x:v>
      </x:c>
      <x:c r="L30" s="15" t="str">
        <x:v>None</x:v>
      </x:c>
      <x:c r="M30" s="15" t="n">
        <x:v>5</x:v>
      </x:c>
      <x:c r="N30" s="15" t="n">
        <x:v>5</x:v>
      </x:c>
      <x:c r="O30" s="15" t="str">
        <x:v>Crafting</x:v>
      </x:c>
      <x:c r="P30" s="19" t="str">
        <x:v>Melee resolves body contact, not headshots.</x:v>
      </x:c>
    </x:row>
    <x:row r="31" ht="48" customHeight="1">
      <x:c r="A31" s="16" t="n">
        <x:v>23</x:v>
      </x:c>
      <x:c r="B31" s="16" t="str">
        <x:v>Hunting knife</x:v>
      </x:c>
      <x:c r="C31" s="16" t="str">
        <x:v>Melee</x:v>
      </x:c>
      <x:c r="D31" s="16" t="n">
        <x:v>2</x:v>
      </x:c>
      <x:c r="E31" s="18" t="n">
        <x:v>32</x:v>
      </x:c>
      <x:c r="F31" s="18" t="n">
        <x:f>E31*(1+MAX(0,D31-1)*20%)</x:f>
        <x:v>38.4</x:v>
      </x:c>
      <x:c r="G31" s="18" t="str">
        <x:f>IF(C31="Melee","n.a.",F31*2)</x:f>
        <x:v>n.a.</x:v>
      </x:c>
      <x:c r="H31" s="18" t="n">
        <x:v>0.4</x:v>
      </x:c>
      <x:c r="I31" s="18" t="n">
        <x:v>1.65</x:v>
      </x:c>
      <x:c r="J31" s="16" t="str">
        <x:v>n.a.</x:v>
      </x:c>
      <x:c r="K31" s="18" t="str">
        <x:v>n.a.</x:v>
      </x:c>
      <x:c r="L31" s="16" t="str">
        <x:v>None</x:v>
      </x:c>
      <x:c r="M31" s="16" t="n">
        <x:v>5</x:v>
      </x:c>
      <x:c r="N31" s="16" t="n">
        <x:v>5</x:v>
      </x:c>
      <x:c r="O31" s="16" t="str">
        <x:v>Crafting</x:v>
      </x:c>
      <x:c r="P31" s="20" t="str">
        <x:v>Melee resolves body contact, not headshots.</x:v>
      </x:c>
    </x:row>
    <x:row r="32" ht="48" customHeight="1">
      <x:c r="A32" s="15" t="n">
        <x:v>24</x:v>
      </x:c>
      <x:c r="B32" s="15" t="str">
        <x:v>Scrap sword</x:v>
      </x:c>
      <x:c r="C32" s="15" t="str">
        <x:v>Melee</x:v>
      </x:c>
      <x:c r="D32" s="15" t="n">
        <x:v>2</x:v>
      </x:c>
      <x:c r="E32" s="17" t="n">
        <x:v>44</x:v>
      </x:c>
      <x:c r="F32" s="17" t="n">
        <x:f>E32*(1+MAX(0,D32-1)*20%)</x:f>
        <x:v>52.8</x:v>
      </x:c>
      <x:c r="G32" s="17" t="str">
        <x:f>IF(C32="Melee","n.a.",F32*2)</x:f>
        <x:v>n.a.</x:v>
      </x:c>
      <x:c r="H32" s="17" t="n">
        <x:v>0.85</x:v>
      </x:c>
      <x:c r="I32" s="17" t="n">
        <x:v>3.1</x:v>
      </x:c>
      <x:c r="J32" s="15" t="str">
        <x:v>n.a.</x:v>
      </x:c>
      <x:c r="K32" s="17" t="str">
        <x:v>n.a.</x:v>
      </x:c>
      <x:c r="L32" s="15" t="str">
        <x:v>None</x:v>
      </x:c>
      <x:c r="M32" s="15" t="n">
        <x:v>12</x:v>
      </x:c>
      <x:c r="N32" s="15" t="n">
        <x:v>5</x:v>
      </x:c>
      <x:c r="O32" s="15" t="str">
        <x:v>Crafting</x:v>
      </x:c>
      <x:c r="P32" s="19" t="str">
        <x:v>Melee resolves body contact, not headshots. Cleave up to 3 targets.</x:v>
      </x:c>
    </x:row>
    <x:row r="33" ht="48" customHeight="1">
      <x:c r="A33" s="16" t="n">
        <x:v>25</x:v>
      </x:c>
      <x:c r="B33" s="16" t="str">
        <x:v>Forged sword</x:v>
      </x:c>
      <x:c r="C33" s="16" t="str">
        <x:v>Melee</x:v>
      </x:c>
      <x:c r="D33" s="16" t="n">
        <x:v>3</x:v>
      </x:c>
      <x:c r="E33" s="18" t="n">
        <x:v>58</x:v>
      </x:c>
      <x:c r="F33" s="18" t="n">
        <x:f>E33*(1+MAX(0,D33-1)*20%)</x:f>
        <x:v>81.19999999999999</x:v>
      </x:c>
      <x:c r="G33" s="18" t="str">
        <x:f>IF(C33="Melee","n.a.",F33*2)</x:f>
        <x:v>n.a.</x:v>
      </x:c>
      <x:c r="H33" s="18" t="n">
        <x:v>0.85</x:v>
      </x:c>
      <x:c r="I33" s="18" t="n">
        <x:v>3.1</x:v>
      </x:c>
      <x:c r="J33" s="16" t="str">
        <x:v>n.a.</x:v>
      </x:c>
      <x:c r="K33" s="18" t="str">
        <x:v>n.a.</x:v>
      </x:c>
      <x:c r="L33" s="16" t="str">
        <x:v>None</x:v>
      </x:c>
      <x:c r="M33" s="16" t="n">
        <x:v>12</x:v>
      </x:c>
      <x:c r="N33" s="16" t="n">
        <x:v>5</x:v>
      </x:c>
      <x:c r="O33" s="16" t="str">
        <x:v>Crafting</x:v>
      </x:c>
      <x:c r="P33" s="20" t="str">
        <x:v>Melee resolves body contact, not headshots. Cleave up to 3 targets.</x:v>
      </x:c>
    </x:row>
    <x:row r="34" ht="48" customHeight="1">
      <x:c r="A34" s="15" t="n">
        <x:v>26</x:v>
      </x:c>
      <x:c r="B34" s="15" t="str">
        <x:v>Alloy longsword</x:v>
      </x:c>
      <x:c r="C34" s="15" t="str">
        <x:v>Melee</x:v>
      </x:c>
      <x:c r="D34" s="15" t="n">
        <x:v>4</x:v>
      </x:c>
      <x:c r="E34" s="17" t="n">
        <x:v>78</x:v>
      </x:c>
      <x:c r="F34" s="17" t="n">
        <x:f>E34*(1+MAX(0,D34-1)*20%)</x:f>
        <x:v>124.80000000000001</x:v>
      </x:c>
      <x:c r="G34" s="17" t="str">
        <x:f>IF(C34="Melee","n.a.",F34*2)</x:f>
        <x:v>n.a.</x:v>
      </x:c>
      <x:c r="H34" s="17" t="n">
        <x:v>0.85</x:v>
      </x:c>
      <x:c r="I34" s="17" t="n">
        <x:v>3.1</x:v>
      </x:c>
      <x:c r="J34" s="15" t="str">
        <x:v>n.a.</x:v>
      </x:c>
      <x:c r="K34" s="17" t="str">
        <x:v>n.a.</x:v>
      </x:c>
      <x:c r="L34" s="15" t="str">
        <x:v>None</x:v>
      </x:c>
      <x:c r="M34" s="15" t="n">
        <x:v>12</x:v>
      </x:c>
      <x:c r="N34" s="15" t="n">
        <x:v>5</x:v>
      </x:c>
      <x:c r="O34" s="15" t="str">
        <x:v>Crafting</x:v>
      </x:c>
      <x:c r="P34" s="19" t="str">
        <x:v>Melee resolves body contact, not headshots. Cleave up to 3 targets.</x:v>
      </x:c>
    </x:row>
    <x:row r="35" ht="48" customHeight="1">
      <x:c r="A35" s="16" t="n">
        <x:v>27</x:v>
      </x:c>
      <x:c r="B35" s="16" t="str">
        <x:v>Stormfire chain sword</x:v>
      </x:c>
      <x:c r="C35" s="16" t="str">
        <x:v>Melee</x:v>
      </x:c>
      <x:c r="D35" s="16" t="n">
        <x:v>5</x:v>
      </x:c>
      <x:c r="E35" s="18" t="n">
        <x:v>36</x:v>
      </x:c>
      <x:c r="F35" s="18" t="n">
        <x:f>E35*(1+MAX(0,D35-1)*20%)</x:f>
        <x:v>64.8</x:v>
      </x:c>
      <x:c r="G35" s="18" t="str">
        <x:f>IF(C35="Melee","n.a.",F35*2)</x:f>
        <x:v>n.a.</x:v>
      </x:c>
      <x:c r="H35" s="18" t="n">
        <x:v>0.22</x:v>
      </x:c>
      <x:c r="I35" s="18" t="n">
        <x:v>3.1</x:v>
      </x:c>
      <x:c r="J35" s="16" t="str">
        <x:v>n.a.</x:v>
      </x:c>
      <x:c r="K35" s="18" t="str">
        <x:v>n.a.</x:v>
      </x:c>
      <x:c r="L35" s="16" t="str">
        <x:v>1 fuel + 1 energy cell / burst</x:v>
      </x:c>
      <x:c r="M35" s="16" t="n">
        <x:v>6</x:v>
      </x:c>
      <x:c r="N35" s="16" t="n">
        <x:v>65</x:v>
      </x:c>
      <x:c r="O35" s="16" t="str">
        <x:v>Crafting</x:v>
      </x:c>
      <x:c r="P35" s="20" t="str">
        <x:v>Melee resolves body contact, not headshots. Electric contact + Q flame exhaust.</x:v>
      </x:c>
    </x:row>
    <x:row r="36" ht="48" customHeight="1">
      <x:c r="A36" s="15" t="n">
        <x:v>28</x:v>
      </x:c>
      <x:c r="B36" s="15" t="str">
        <x:v>9mm salvage revolver</x:v>
      </x:c>
      <x:c r="C36" s="15" t="str">
        <x:v>Gun</x:v>
      </x:c>
      <x:c r="D36" s="15" t="n">
        <x:v>2</x:v>
      </x:c>
      <x:c r="E36" s="17" t="n">
        <x:v>42</x:v>
      </x:c>
      <x:c r="F36" s="17" t="n">
        <x:f>E36*(1+MAX(0,D36-1)*20%)</x:f>
        <x:v>50.4</x:v>
      </x:c>
      <x:c r="G36" s="17" t="n">
        <x:f>IF(C36="Melee","n.a.",F36*2)</x:f>
        <x:v>100.8</x:v>
      </x:c>
      <x:c r="H36" s="17" t="n">
        <x:v>0.5</x:v>
      </x:c>
      <x:c r="I36" s="17" t="n">
        <x:v>100</x:v>
      </x:c>
      <x:c r="J36" s="15" t="n">
        <x:v>6</x:v>
      </x:c>
      <x:c r="K36" s="17" t="n">
        <x:v>1.4</x:v>
      </x:c>
      <x:c r="L36" s="15" t="str">
        <x:v>9mm pistol rounds</x:v>
      </x:c>
      <x:c r="M36" s="15" t="str">
        <x:v>n.a.</x:v>
      </x:c>
      <x:c r="N36" s="15" t="n">
        <x:v>90</x:v>
      </x:c>
      <x:c r="O36" s="15" t="str">
        <x:v>Crafting</x:v>
      </x:c>
      <x:c r="P36" s="19" t="str"/>
    </x:row>
    <x:row r="37" ht="48" customHeight="1">
      <x:c r="A37" s="16" t="n">
        <x:v>29</x:v>
      </x:c>
      <x:c r="B37" s="16" t="str">
        <x:v>9mm compact SMG</x:v>
      </x:c>
      <x:c r="C37" s="16" t="str">
        <x:v>Gun</x:v>
      </x:c>
      <x:c r="D37" s="16" t="n">
        <x:v>3</x:v>
      </x:c>
      <x:c r="E37" s="18" t="n">
        <x:v>18</x:v>
      </x:c>
      <x:c r="F37" s="18" t="n">
        <x:f>E37*(1+MAX(0,D37-1)*20%)</x:f>
        <x:v>25.2</x:v>
      </x:c>
      <x:c r="G37" s="18" t="n">
        <x:f>IF(C37="Melee","n.a.",F37*2)</x:f>
        <x:v>50.4</x:v>
      </x:c>
      <x:c r="H37" s="18" t="n">
        <x:v>0.1</x:v>
      </x:c>
      <x:c r="I37" s="18" t="n">
        <x:v>100</x:v>
      </x:c>
      <x:c r="J37" s="16" t="n">
        <x:v>24</x:v>
      </x:c>
      <x:c r="K37" s="18" t="n">
        <x:v>1.4</x:v>
      </x:c>
      <x:c r="L37" s="16" t="str">
        <x:v>9mm pistol rounds</x:v>
      </x:c>
      <x:c r="M37" s="16" t="str">
        <x:v>n.a.</x:v>
      </x:c>
      <x:c r="N37" s="16" t="n">
        <x:v>90</x:v>
      </x:c>
      <x:c r="O37" s="16" t="str">
        <x:v>Crafting</x:v>
      </x:c>
      <x:c r="P37" s="20" t="str">
        <x:v>Automatic fire.</x:v>
      </x:c>
    </x:row>
    <x:row r="38" ht="48" customHeight="1">
      <x:c r="A38" s="15" t="n">
        <x:v>30</x:v>
      </x:c>
      <x:c r="B38" s="15" t="str">
        <x:v>Pump-action shotgun</x:v>
      </x:c>
      <x:c r="C38" s="15" t="str">
        <x:v>Gun</x:v>
      </x:c>
      <x:c r="D38" s="15" t="n">
        <x:v>4</x:v>
      </x:c>
      <x:c r="E38" s="17" t="n">
        <x:v>18</x:v>
      </x:c>
      <x:c r="F38" s="17" t="n">
        <x:f>E38*(1+MAX(0,D38-1)*20%)</x:f>
        <x:v>28.8</x:v>
      </x:c>
      <x:c r="G38" s="17" t="n">
        <x:f>IF(C38="Melee","n.a.",F38*2)</x:f>
        <x:v>57.6</x:v>
      </x:c>
      <x:c r="H38" s="17" t="n">
        <x:v>0.85</x:v>
      </x:c>
      <x:c r="I38" s="17" t="n">
        <x:v>45</x:v>
      </x:c>
      <x:c r="J38" s="15" t="n">
        <x:v>6</x:v>
      </x:c>
      <x:c r="K38" s="17" t="n">
        <x:v>1.4</x:v>
      </x:c>
      <x:c r="L38" s="15" t="str">
        <x:v>12-gauge shells</x:v>
      </x:c>
      <x:c r="M38" s="15" t="str">
        <x:v>n.a.</x:v>
      </x:c>
      <x:c r="N38" s="15" t="n">
        <x:v>90</x:v>
      </x:c>
      <x:c r="O38" s="15" t="str">
        <x:v>Crafting</x:v>
      </x:c>
      <x:c r="P38" s="19" t="str">
        <x:v>6 pellets; damage columns are per pellet.</x:v>
      </x:c>
    </x:row>
    <x:row r="39" ht="48" customHeight="1">
      <x:c r="A39" s="16" t="n">
        <x:v>31</x:v>
      </x:c>
      <x:c r="B39" s="16" t="str">
        <x:v>Battle rifle</x:v>
      </x:c>
      <x:c r="C39" s="16" t="str">
        <x:v>Gun</x:v>
      </x:c>
      <x:c r="D39" s="16" t="n">
        <x:v>4</x:v>
      </x:c>
      <x:c r="E39" s="18" t="n">
        <x:v>48</x:v>
      </x:c>
      <x:c r="F39" s="18" t="n">
        <x:f>E39*(1+MAX(0,D39-1)*20%)</x:f>
        <x:v>76.80000000000001</x:v>
      </x:c>
      <x:c r="G39" s="18" t="n">
        <x:f>IF(C39="Melee","n.a.",F39*2)</x:f>
        <x:v>153.60000000000002</x:v>
      </x:c>
      <x:c r="H39" s="18" t="n">
        <x:v>0.45</x:v>
      </x:c>
      <x:c r="I39" s="18" t="n">
        <x:v>100</x:v>
      </x:c>
      <x:c r="J39" s="16" t="n">
        <x:v>20</x:v>
      </x:c>
      <x:c r="K39" s="18" t="n">
        <x:v>1.4</x:v>
      </x:c>
      <x:c r="L39" s="16" t="str">
        <x:v>7.62mm rifle rounds</x:v>
      </x:c>
      <x:c r="M39" s="16" t="str">
        <x:v>n.a.</x:v>
      </x:c>
      <x:c r="N39" s="16" t="n">
        <x:v>90</x:v>
      </x:c>
      <x:c r="O39" s="16" t="str">
        <x:v>Crafting</x:v>
      </x:c>
      <x:c r="P39" s="20" t="str"/>
    </x:row>
    <x:row r="40" ht="48" customHeight="1">
      <x:c r="A40" s="15" t="n">
        <x:v>32</x:v>
      </x:c>
      <x:c r="B40" s="15" t="str">
        <x:v>Compound bow</x:v>
      </x:c>
      <x:c r="C40" s="15" t="str">
        <x:v>Bow</x:v>
      </x:c>
      <x:c r="D40" s="15" t="n">
        <x:v>4</x:v>
      </x:c>
      <x:c r="E40" s="17" t="n">
        <x:v>68</x:v>
      </x:c>
      <x:c r="F40" s="17" t="n">
        <x:f>E40*(1+MAX(0,D40-1)*20%)</x:f>
        <x:v>108.80000000000001</x:v>
      </x:c>
      <x:c r="G40" s="17" t="n">
        <x:f>IF(C40="Melee","n.a.",F40*2)</x:f>
        <x:v>217.60000000000002</x:v>
      </x:c>
      <x:c r="H40" s="17" t="n">
        <x:v>1</x:v>
      </x:c>
      <x:c r="I40" s="17" t="str">
        <x:v>Projectile</x:v>
      </x:c>
      <x:c r="J40" s="15" t="str">
        <x:v>n.a.</x:v>
      </x:c>
      <x:c r="K40" s="17" t="str">
        <x:v>n.a.</x:v>
      </x:c>
      <x:c r="L40" s="15" t="str">
        <x:v>1 arrow</x:v>
      </x:c>
      <x:c r="M40" s="15" t="str">
        <x:v>n.a.</x:v>
      </x:c>
      <x:c r="N40" s="15" t="n">
        <x:v>12</x:v>
      </x:c>
      <x:c r="O40" s="15" t="str">
        <x:v>Crafting</x:v>
      </x:c>
      <x:c r="P40" s="19" t="str">
        <x:v>Projectile: 60 m/s; 4s lifetime; gravity 9 m/s².</x:v>
      </x:c>
    </x:row>
    <x:row r="41" ht="48" customHeight="1">
      <x:c r="A41" s="16" t="n">
        <x:v>33</x:v>
      </x:c>
      <x:c r="B41" s="16" t="str">
        <x:v>Polehammer</x:v>
      </x:c>
      <x:c r="C41" s="16" t="str">
        <x:v>Melee</x:v>
      </x:c>
      <x:c r="D41" s="16" t="n">
        <x:v>3</x:v>
      </x:c>
      <x:c r="E41" s="18" t="n">
        <x:v>60</x:v>
      </x:c>
      <x:c r="F41" s="18" t="n">
        <x:f>E41*(1+MAX(0,D41-1)*20%)</x:f>
        <x:v>84</x:v>
      </x:c>
      <x:c r="G41" s="18" t="str">
        <x:f>IF(C41="Melee","n.a.",F41*2)</x:f>
        <x:v>n.a.</x:v>
      </x:c>
      <x:c r="H41" s="18" t="n">
        <x:v>1.1</x:v>
      </x:c>
      <x:c r="I41" s="18" t="n">
        <x:v>3.3</x:v>
      </x:c>
      <x:c r="J41" s="16" t="str">
        <x:v>n.a.</x:v>
      </x:c>
      <x:c r="K41" s="18" t="str">
        <x:v>n.a.</x:v>
      </x:c>
      <x:c r="L41" s="16" t="str">
        <x:v>None</x:v>
      </x:c>
      <x:c r="M41" s="16" t="n">
        <x:v>9</x:v>
      </x:c>
      <x:c r="N41" s="16" t="n">
        <x:v>5</x:v>
      </x:c>
      <x:c r="O41" s="16" t="str">
        <x:v>Crafting</x:v>
      </x:c>
      <x:c r="P41" s="20" t="str">
        <x:v>Melee resolves body contact, not headshots.</x:v>
      </x:c>
    </x:row>
    <x:row r="44">
      <x:c r="A44" s="22" t="str">
        <x:v>Damage includes +20% per weapon tier above T1. Actual enemy armor/resistance, weak points and player bonuses change the result.</x:v>
      </x:c>
    </x:row>
    <x:row r="45">
      <x:c r="A45" s="22" t="str">
        <x:v>Head damage applies to valid humanoid head hits; animal hits are treated as body hits. Shotguns fire 6 separately resolved pellets.</x:v>
      </x:c>
    </x:row>
    <x:row r="46">
      <x:c r="A46" s="22" t="str">
        <x:v>Noise is emitted radius before modifiers. Melee contact emits an additional 10m pulse. Bow reach depends on trajectory and collisions.</x:v>
      </x:c>
    </x:row>
    <x:row r="47">
      <x:c r="A47" s="22" t="str">
        <x:v>Sources: game/Scripts/Logic/ExpeditionGame.cs; ExpeditionWeaponProgression.cs; ExpeditionWeaponWorkshop.cs; ExpeditionAmmunition.cs.</x:v>
      </x:c>
    </x:row>
    <x:row r="48">
      <x:c r="A48" s="22" t="str">
        <x:v>Runtime sources: game/Scripts/ExpeditionCombatBuildingAdapter.cs; ExpeditionPrimitiveCombat.cs; ExpeditionChainSword.cs.</x:v>
      </x:c>
    </x:row>
  </x:sheetData>
  <x:pageMargins left="0.7" right="0.7" top="0.75" bottom="0.75" header="0.3" footer="0.3"/>
  <x:tableParts count="1">
    <x:tablePart xmlns:r="http://schemas.openxmlformats.org/officeDocument/2006/relationships" r:id="Rcd211303121245bb"/>
  </x:tableParts>
</x:worksheet>
</file>

<file path=xl/worksheets/sheet2.xml><?xml version="1.0" encoding="utf-8"?>
<x:worksheet xmlns:x="http://schemas.openxmlformats.org/spreadsheetml/2006/main">
  <x:sheetPr>
    <x:tabColor rgb="FF26332C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" hidden="0" customWidth="1"/>
    <x:col min="2" max="2" width="29" hidden="0" customWidth="1"/>
    <x:col min="3" max="3" width="13" hidden="0" customWidth="1"/>
    <x:col min="4" max="4" width="13" hidden="0" customWidth="1"/>
    <x:col min="5" max="5" width="13" hidden="0" customWidth="1"/>
    <x:col min="6" max="6" width="17" hidden="0" customWidth="1"/>
    <x:col min="7" max="7" width="16" hidden="0" customWidth="1"/>
    <x:col min="8" max="8" width="17" hidden="0" customWidth="1"/>
    <x:col min="9" max="9" width="19" hidden="0" customWidth="1"/>
    <x:col min="10" max="10" width="30" hidden="0" customWidth="1"/>
    <x:col min="11" max="11" width="13" hidden="0" customWidth="1"/>
    <x:col min="12" max="12" width="13" hidden="0" customWidth="1"/>
    <x:col min="13" max="13" width="13" hidden="0" customWidth="1"/>
    <x:col min="14" max="14" width="17" hidden="0" customWidth="1"/>
    <x:col min="15" max="15" width="16" hidden="0" customWidth="1"/>
    <x:col min="16" max="16" width="17" hidden="0" customWidth="1"/>
    <x:col min="17" max="17" width="18" hidden="0" customWidth="1"/>
    <x:col min="18" max="18" width="4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5" t="str">
        <x:v>Weapon crafting and research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</x:row>
    <x:row r="4">
      <x:c r="A4" s="8" t="str">
        <x:v>T3+ weapon specializations are exclusive within Weapons and armor; the character research budget is 48 points.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</x:row>
    <x:row r="7" ht="36" customHeight="1">
      <x:c r="A7" s="14" t="str">
        <x:v>ID</x:v>
      </x:c>
      <x:c r="B7" s="14" t="str">
        <x:v>Weapon</x:v>
      </x:c>
      <x:c r="C7" s="14" t="str">
        <x:v>Weapon tier</x:v>
      </x:c>
      <x:c r="D7" s="14" t="str">
        <x:v>Recipe tier</x:v>
      </x:c>
      <x:c r="E7" s="14" t="str">
        <x:v>Workshop</x:v>
      </x:c>
      <x:c r="F7" s="14" t="str">
        <x:v>Research points</x:v>
      </x:c>
      <x:c r="G7" s="14" t="str">
        <x:v>Crafting level</x:v>
      </x:c>
      <x:c r="H7" s="14" t="str">
        <x:v>Character level</x:v>
      </x:c>
      <x:c r="I7" s="14" t="str">
        <x:v>Research family</x:v>
      </x:c>
      <x:c r="J7" s="14" t="str">
        <x:v>Prerequisite blueprint</x:v>
      </x:c>
      <x:c r="K7" s="14" t="str">
        <x:v>Timber</x:v>
      </x:c>
      <x:c r="L7" s="14" t="str">
        <x:v>Stone</x:v>
      </x:c>
      <x:c r="M7" s="14" t="str">
        <x:v>Fiber</x:v>
      </x:c>
      <x:c r="N7" s="14" t="str">
        <x:v>Forest resin</x:v>
      </x:c>
      <x:c r="O7" s="14" t="str">
        <x:v>Alloy scrap</x:v>
      </x:c>
      <x:c r="P7" s="14" t="str">
        <x:v>Electronics</x:v>
      </x:c>
      <x:c r="Q7" s="14" t="str">
        <x:v>Bioalloy</x:v>
      </x:c>
      <x:c r="R7" s="14" t="str">
        <x:v>Availability</x:v>
      </x:c>
    </x:row>
    <x:row r="8" ht="32" customHeight="1">
      <x:c r="A8" s="15" t="n">
        <x:v>0</x:v>
      </x:c>
      <x:c r="B8" s="15" t="str">
        <x:v>Trail pistol</x:v>
      </x:c>
      <x:c r="C8" s="15" t="n">
        <x:v>2</x:v>
      </x:c>
      <x:c r="D8" s="15" t="n">
        <x:v>2</x:v>
      </x:c>
      <x:c r="E8" s="15" t="n">
        <x:v>2</x:v>
      </x:c>
      <x:c r="F8" s="15" t="n">
        <x:v>2</x:v>
      </x:c>
      <x:c r="G8" s="15" t="n">
        <x:v>1</x:v>
      </x:c>
      <x:c r="H8" s="15" t="n">
        <x:v>2</x:v>
      </x:c>
      <x:c r="I8" s="15" t="str">
        <x:v>Ballistics</x:v>
      </x:c>
      <x:c r="J8" s="15" t="str">
        <x:v>None</x:v>
      </x:c>
      <x:c r="K8" s="15" t="n">
        <x:v>4</x:v>
      </x:c>
      <x:c r="L8" s="15" t="n">
        <x:v>4</x:v>
      </x:c>
      <x:c r="M8" s="15" t="n">
        <x:v>2</x:v>
      </x:c>
      <x:c r="N8" s="15" t="n">
        <x:v>4</x:v>
      </x:c>
      <x:c r="O8" s="15" t="n">
        <x:v>0</x:v>
      </x:c>
      <x:c r="P8" s="15" t="n">
        <x:v>0</x:v>
      </x:c>
      <x:c r="Q8" s="15" t="n">
        <x:v>0</x:v>
      </x:c>
      <x:c r="R8" s="15" t="str">
        <x:v>Crafting</x:v>
      </x:c>
    </x:row>
    <x:row r="9" ht="32" customHeight="1">
      <x:c r="A9" s="16" t="n">
        <x:v>1</x:v>
      </x:c>
      <x:c r="B9" s="16" t="str">
        <x:v>Trail rifle</x:v>
      </x:c>
      <x:c r="C9" s="16" t="n">
        <x:v>2</x:v>
      </x:c>
      <x:c r="D9" s="16" t="str">
        <x:v>n.a.</x:v>
      </x:c>
      <x:c r="E9" s="16" t="str">
        <x:v>n.a.</x:v>
      </x:c>
      <x:c r="F9" s="16" t="str">
        <x:v>n.a.</x:v>
      </x:c>
      <x:c r="G9" s="16" t="str">
        <x:v>n.a.</x:v>
      </x:c>
      <x:c r="H9" s="16" t="n">
        <x:v>2</x:v>
      </x:c>
      <x:c r="I9" s="16" t="str">
        <x:v>Ballistics</x:v>
      </x:c>
      <x:c r="J9" s="16" t="str">
        <x:v>None</x:v>
      </x:c>
      <x:c r="K9" s="16" t="str">
        <x:v>n.a.</x:v>
      </x:c>
      <x:c r="L9" s="16" t="str">
        <x:v>n.a.</x:v>
      </x:c>
      <x:c r="M9" s="16" t="str">
        <x:v>n.a.</x:v>
      </x:c>
      <x:c r="N9" s="16" t="str">
        <x:v>n.a.</x:v>
      </x:c>
      <x:c r="O9" s="16" t="str">
        <x:v>n.a.</x:v>
      </x:c>
      <x:c r="P9" s="16" t="str">
        <x:v>n.a.</x:v>
      </x:c>
      <x:c r="Q9" s="16" t="str">
        <x:v>n.a.</x:v>
      </x:c>
      <x:c r="R9" s="16" t="str">
        <x:v>Soulbound boss drop; no recipe</x:v>
      </x:c>
    </x:row>
    <x:row r="10" ht="32" customHeight="1">
      <x:c r="A10" s="15" t="n">
        <x:v>2</x:v>
      </x:c>
      <x:c r="B10" s="15" t="str">
        <x:v>Woodland rifle</x:v>
      </x:c>
      <x:c r="C10" s="15" t="n">
        <x:v>2</x:v>
      </x:c>
      <x:c r="D10" s="15" t="n">
        <x:v>2</x:v>
      </x:c>
      <x:c r="E10" s="15" t="n">
        <x:v>2</x:v>
      </x:c>
      <x:c r="F10" s="15" t="n">
        <x:v>2</x:v>
      </x:c>
      <x:c r="G10" s="15" t="n">
        <x:v>1</x:v>
      </x:c>
      <x:c r="H10" s="15" t="n">
        <x:v>2</x:v>
      </x:c>
      <x:c r="I10" s="15" t="str">
        <x:v>Ballistics</x:v>
      </x:c>
      <x:c r="J10" s="15" t="str">
        <x:v>None</x:v>
      </x:c>
      <x:c r="K10" s="15" t="n">
        <x:v>6</x:v>
      </x:c>
      <x:c r="L10" s="15" t="n">
        <x:v>3</x:v>
      </x:c>
      <x:c r="M10" s="15" t="n">
        <x:v>2</x:v>
      </x:c>
      <x:c r="N10" s="15" t="n">
        <x:v>4</x:v>
      </x:c>
      <x:c r="O10" s="15" t="n">
        <x:v>0</x:v>
      </x:c>
      <x:c r="P10" s="15" t="n">
        <x:v>0</x:v>
      </x:c>
      <x:c r="Q10" s="15" t="n">
        <x:v>0</x:v>
      </x:c>
      <x:c r="R10" s="15" t="str">
        <x:v>Crafting + enemy loot</x:v>
      </x:c>
    </x:row>
    <x:row r="11" ht="32" customHeight="1">
      <x:c r="A11" s="16" t="n">
        <x:v>3</x:v>
      </x:c>
      <x:c r="B11" s="16" t="str">
        <x:v>Industrial carbine</x:v>
      </x:c>
      <x:c r="C11" s="16" t="n">
        <x:v>3</x:v>
      </x:c>
      <x:c r="D11" s="16" t="n">
        <x:v>3</x:v>
      </x:c>
      <x:c r="E11" s="16" t="n">
        <x:v>3</x:v>
      </x:c>
      <x:c r="F11" s="16" t="n">
        <x:v>3</x:v>
      </x:c>
      <x:c r="G11" s="16" t="n">
        <x:v>2</x:v>
      </x:c>
      <x:c r="H11" s="16" t="n">
        <x:v>2</x:v>
      </x:c>
      <x:c r="I11" s="16" t="str">
        <x:v>Ballistics</x:v>
      </x:c>
      <x:c r="J11" s="16" t="str">
        <x:v>Woodland rifle</x:v>
      </x:c>
      <x:c r="K11" s="16" t="n">
        <x:v>3</x:v>
      </x:c>
      <x:c r="L11" s="16" t="n">
        <x:v>2</x:v>
      </x:c>
      <x:c r="M11" s="16" t="n">
        <x:v>0</x:v>
      </x:c>
      <x:c r="N11" s="16" t="n">
        <x:v>2</x:v>
      </x:c>
      <x:c r="O11" s="16" t="n">
        <x:v>5</x:v>
      </x:c>
      <x:c r="P11" s="16" t="n">
        <x:v>0</x:v>
      </x:c>
      <x:c r="Q11" s="16" t="n">
        <x:v>0</x:v>
      </x:c>
      <x:c r="R11" s="16" t="str">
        <x:v>Crafting + enemy loot</x:v>
      </x:c>
    </x:row>
    <x:row r="12" ht="32" customHeight="1">
      <x:c r="A12" s="15" t="n">
        <x:v>4</x:v>
      </x:c>
      <x:c r="B12" s="15" t="str">
        <x:v>Precision rifle</x:v>
      </x:c>
      <x:c r="C12" s="15" t="n">
        <x:v>4</x:v>
      </x:c>
      <x:c r="D12" s="15" t="n">
        <x:v>4</x:v>
      </x:c>
      <x:c r="E12" s="15" t="n">
        <x:v>4</x:v>
      </x:c>
      <x:c r="F12" s="15" t="n">
        <x:v>4</x:v>
      </x:c>
      <x:c r="G12" s="15" t="n">
        <x:v>3</x:v>
      </x:c>
      <x:c r="H12" s="15" t="n">
        <x:v>2</x:v>
      </x:c>
      <x:c r="I12" s="15" t="str">
        <x:v>Ballistics</x:v>
      </x:c>
      <x:c r="J12" s="15" t="str">
        <x:v>Industrial carbine</x:v>
      </x:c>
      <x:c r="K12" s="15" t="n">
        <x:v>2</x:v>
      </x:c>
      <x:c r="L12" s="15" t="n">
        <x:v>0</x:v>
      </x:c>
      <x:c r="M12" s="15" t="n">
        <x:v>2</x:v>
      </x:c>
      <x:c r="N12" s="15" t="n">
        <x:v>0</x:v>
      </x:c>
      <x:c r="O12" s="15" t="n">
        <x:v>5</x:v>
      </x:c>
      <x:c r="P12" s="15" t="n">
        <x:v>4</x:v>
      </x:c>
      <x:c r="Q12" s="15" t="n">
        <x:v>0</x:v>
      </x:c>
      <x:c r="R12" s="15" t="str">
        <x:v>Crafting + enemy loot</x:v>
      </x:c>
    </x:row>
    <x:row r="13" ht="32" customHeight="1">
      <x:c r="A13" s="16" t="n">
        <x:v>5</x:v>
      </x:c>
      <x:c r="B13" s="16" t="str">
        <x:v>Experimental rifle</x:v>
      </x:c>
      <x:c r="C13" s="16" t="n">
        <x:v>5</x:v>
      </x:c>
      <x:c r="D13" s="16" t="n">
        <x:v>5</x:v>
      </x:c>
      <x:c r="E13" s="16" t="n">
        <x:v>5</x:v>
      </x:c>
      <x:c r="F13" s="16" t="n">
        <x:v>5</x:v>
      </x:c>
      <x:c r="G13" s="16" t="n">
        <x:v>4</x:v>
      </x:c>
      <x:c r="H13" s="16" t="n">
        <x:v>2</x:v>
      </x:c>
      <x:c r="I13" s="16" t="str">
        <x:v>Ballistics</x:v>
      </x:c>
      <x:c r="J13" s="16" t="str">
        <x:v>Precision rifle</x:v>
      </x:c>
      <x:c r="K13" s="16" t="n">
        <x:v>0</x:v>
      </x:c>
      <x:c r="L13" s="16" t="n">
        <x:v>0</x:v>
      </x:c>
      <x:c r="M13" s="16" t="n">
        <x:v>2</x:v>
      </x:c>
      <x:c r="N13" s="16" t="n">
        <x:v>0</x:v>
      </x:c>
      <x:c r="O13" s="16" t="n">
        <x:v>3</x:v>
      </x:c>
      <x:c r="P13" s="16" t="n">
        <x:v>3</x:v>
      </x:c>
      <x:c r="Q13" s="16" t="n">
        <x:v>5</x:v>
      </x:c>
      <x:c r="R13" s="16" t="str">
        <x:v>Crafting + enemy loot</x:v>
      </x:c>
    </x:row>
    <x:row r="14" ht="32" customHeight="1">
      <x:c r="A14" s="15" t="n">
        <x:v>6</x:v>
      </x:c>
      <x:c r="B14" s="15" t="str">
        <x:v>Woodland bow</x:v>
      </x:c>
      <x:c r="C14" s="15" t="n">
        <x:v>2</x:v>
      </x:c>
      <x:c r="D14" s="15" t="n">
        <x:v>2</x:v>
      </x:c>
      <x:c r="E14" s="15" t="n">
        <x:v>2</x:v>
      </x:c>
      <x:c r="F14" s="15" t="n">
        <x:v>2</x:v>
      </x:c>
      <x:c r="G14" s="15" t="n">
        <x:v>1</x:v>
      </x:c>
      <x:c r="H14" s="15" t="n">
        <x:v>1</x:v>
      </x:c>
      <x:c r="I14" s="15" t="str">
        <x:v>Ranger</x:v>
      </x:c>
      <x:c r="J14" s="15" t="str">
        <x:v>Simple bow</x:v>
      </x:c>
      <x:c r="K14" s="15" t="n">
        <x:v>5</x:v>
      </x:c>
      <x:c r="L14" s="15" t="n">
        <x:v>0</x:v>
      </x:c>
      <x:c r="M14" s="15" t="n">
        <x:v>5</x:v>
      </x:c>
      <x:c r="N14" s="15" t="n">
        <x:v>3</x:v>
      </x:c>
      <x:c r="O14" s="15" t="n">
        <x:v>0</x:v>
      </x:c>
      <x:c r="P14" s="15" t="n">
        <x:v>0</x:v>
      </x:c>
      <x:c r="Q14" s="15" t="n">
        <x:v>0</x:v>
      </x:c>
      <x:c r="R14" s="15" t="str">
        <x:v>Crafting</x:v>
      </x:c>
    </x:row>
    <x:row r="15" ht="32" customHeight="1">
      <x:c r="A15" s="16" t="n">
        <x:v>7</x:v>
      </x:c>
      <x:c r="B15" s="16" t="str">
        <x:v>Scrap shotgun</x:v>
      </x:c>
      <x:c r="C15" s="16" t="n">
        <x:v>3</x:v>
      </x:c>
      <x:c r="D15" s="16" t="n">
        <x:v>3</x:v>
      </x:c>
      <x:c r="E15" s="16" t="n">
        <x:v>3</x:v>
      </x:c>
      <x:c r="F15" s="16" t="n">
        <x:v>3</x:v>
      </x:c>
      <x:c r="G15" s="16" t="n">
        <x:v>2</x:v>
      </x:c>
      <x:c r="H15" s="16" t="n">
        <x:v>2</x:v>
      </x:c>
      <x:c r="I15" s="16" t="str">
        <x:v>Ballistics</x:v>
      </x:c>
      <x:c r="J15" s="16" t="str">
        <x:v>Trail pistol</x:v>
      </x:c>
      <x:c r="K15" s="16" t="n">
        <x:v>2</x:v>
      </x:c>
      <x:c r="L15" s="16" t="n">
        <x:v>0</x:v>
      </x:c>
      <x:c r="M15" s="16" t="n">
        <x:v>2</x:v>
      </x:c>
      <x:c r="N15" s="16" t="n">
        <x:v>0</x:v>
      </x:c>
      <x:c r="O15" s="16" t="n">
        <x:v>5</x:v>
      </x:c>
      <x:c r="P15" s="16" t="n">
        <x:v>0</x:v>
      </x:c>
      <x:c r="Q15" s="16" t="n">
        <x:v>0</x:v>
      </x:c>
      <x:c r="R15" s="16" t="str">
        <x:v>Crafting</x:v>
      </x:c>
    </x:row>
    <x:row r="16" ht="32" customHeight="1">
      <x:c r="A16" s="15" t="n">
        <x:v>8</x:v>
      </x:c>
      <x:c r="B16" s="15" t="str">
        <x:v>Sturdy stick</x:v>
      </x:c>
      <x:c r="C16" s="15" t="n">
        <x:v>1</x:v>
      </x:c>
      <x:c r="D16" s="15" t="n">
        <x:v>1</x:v>
      </x:c>
      <x:c r="E16" s="15" t="n">
        <x:v>0</x:v>
      </x:c>
      <x:c r="F16" s="15" t="n">
        <x:v>0</x:v>
      </x:c>
      <x:c r="G16" s="15" t="n">
        <x:v>1</x:v>
      </x:c>
      <x:c r="H16" s="15" t="n">
        <x:v>1</x:v>
      </x:c>
      <x:c r="I16" s="15" t="str">
        <x:v>Brawler</x:v>
      </x:c>
      <x:c r="J16" s="15" t="str">
        <x:v>None</x:v>
      </x:c>
      <x:c r="K16" s="15" t="n">
        <x:v>3</x:v>
      </x:c>
      <x:c r="L16" s="15" t="n">
        <x:v>0</x:v>
      </x:c>
      <x:c r="M16" s="15" t="n">
        <x:v>0</x:v>
      </x:c>
      <x:c r="N16" s="15" t="n">
        <x:v>0</x:v>
      </x:c>
      <x:c r="O16" s="15" t="n">
        <x:v>0</x:v>
      </x:c>
      <x:c r="P16" s="15" t="n">
        <x:v>0</x:v>
      </x:c>
      <x:c r="Q16" s="15" t="n">
        <x:v>0</x:v>
      </x:c>
      <x:c r="R16" s="15" t="str">
        <x:v>Starting equipment + crafting</x:v>
      </x:c>
    </x:row>
    <x:row r="17" ht="32" customHeight="1">
      <x:c r="A17" s="16" t="n">
        <x:v>9</x:v>
      </x:c>
      <x:c r="B17" s="16" t="str">
        <x:v>Hand stone</x:v>
      </x:c>
      <x:c r="C17" s="16" t="n">
        <x:v>1</x:v>
      </x:c>
      <x:c r="D17" s="16" t="n">
        <x:v>1</x:v>
      </x:c>
      <x:c r="E17" s="16" t="n">
        <x:v>0</x:v>
      </x:c>
      <x:c r="F17" s="16" t="n">
        <x:v>0</x:v>
      </x:c>
      <x:c r="G17" s="16" t="n">
        <x:v>1</x:v>
      </x:c>
      <x:c r="H17" s="16" t="n">
        <x:v>1</x:v>
      </x:c>
      <x:c r="I17" s="16" t="str">
        <x:v>Brawler</x:v>
      </x:c>
      <x:c r="J17" s="16" t="str">
        <x:v>None</x:v>
      </x:c>
      <x:c r="K17" s="16" t="n">
        <x:v>0</x:v>
      </x:c>
      <x:c r="L17" s="16" t="n">
        <x:v>3</x:v>
      </x:c>
      <x:c r="M17" s="16" t="n">
        <x:v>0</x:v>
      </x:c>
      <x:c r="N17" s="16" t="n">
        <x:v>0</x:v>
      </x:c>
      <x:c r="O17" s="16" t="n">
        <x:v>0</x:v>
      </x:c>
      <x:c r="P17" s="16" t="n">
        <x:v>0</x:v>
      </x:c>
      <x:c r="Q17" s="16" t="n">
        <x:v>0</x:v>
      </x:c>
      <x:c r="R17" s="16" t="str">
        <x:v>Starting equipment + crafting</x:v>
      </x:c>
    </x:row>
    <x:row r="18" ht="32" customHeight="1">
      <x:c r="A18" s="15" t="n">
        <x:v>10</x:v>
      </x:c>
      <x:c r="B18" s="15" t="str">
        <x:v>Wooden club</x:v>
      </x:c>
      <x:c r="C18" s="15" t="n">
        <x:v>1</x:v>
      </x:c>
      <x:c r="D18" s="15" t="n">
        <x:v>1</x:v>
      </x:c>
      <x:c r="E18" s="15" t="n">
        <x:v>0</x:v>
      </x:c>
      <x:c r="F18" s="15" t="n">
        <x:v>1</x:v>
      </x:c>
      <x:c r="G18" s="15" t="n">
        <x:v>1</x:v>
      </x:c>
      <x:c r="H18" s="15" t="n">
        <x:v>1</x:v>
      </x:c>
      <x:c r="I18" s="15" t="str">
        <x:v>Brawler</x:v>
      </x:c>
      <x:c r="J18" s="15" t="str">
        <x:v>Sturdy stick</x:v>
      </x:c>
      <x:c r="K18" s="15" t="n">
        <x:v>3</x:v>
      </x:c>
      <x:c r="L18" s="15" t="n">
        <x:v>0</x:v>
      </x:c>
      <x:c r="M18" s="15" t="n">
        <x:v>1</x:v>
      </x:c>
      <x:c r="N18" s="15" t="n">
        <x:v>0</x:v>
      </x:c>
      <x:c r="O18" s="15" t="n">
        <x:v>0</x:v>
      </x:c>
      <x:c r="P18" s="15" t="n">
        <x:v>0</x:v>
      </x:c>
      <x:c r="Q18" s="15" t="n">
        <x:v>0</x:v>
      </x:c>
      <x:c r="R18" s="15" t="str">
        <x:v>Crafting</x:v>
      </x:c>
    </x:row>
    <x:row r="19" ht="32" customHeight="1">
      <x:c r="A19" s="16" t="n">
        <x:v>11</x:v>
      </x:c>
      <x:c r="B19" s="16" t="str">
        <x:v>Stone spear</x:v>
      </x:c>
      <x:c r="C19" s="16" t="n">
        <x:v>1</x:v>
      </x:c>
      <x:c r="D19" s="16" t="n">
        <x:v>1</x:v>
      </x:c>
      <x:c r="E19" s="16" t="n">
        <x:v>0</x:v>
      </x:c>
      <x:c r="F19" s="16" t="n">
        <x:v>1</x:v>
      </x:c>
      <x:c r="G19" s="16" t="n">
        <x:v>1</x:v>
      </x:c>
      <x:c r="H19" s="16" t="n">
        <x:v>1</x:v>
      </x:c>
      <x:c r="I19" s="16" t="str">
        <x:v>Brawler</x:v>
      </x:c>
      <x:c r="J19" s="16" t="str">
        <x:v>Hand stone</x:v>
      </x:c>
      <x:c r="K19" s="16" t="n">
        <x:v>3</x:v>
      </x:c>
      <x:c r="L19" s="16" t="n">
        <x:v>3</x:v>
      </x:c>
      <x:c r="M19" s="16" t="n">
        <x:v>2</x:v>
      </x:c>
      <x:c r="N19" s="16" t="n">
        <x:v>0</x:v>
      </x:c>
      <x:c r="O19" s="16" t="n">
        <x:v>0</x:v>
      </x:c>
      <x:c r="P19" s="16" t="n">
        <x:v>0</x:v>
      </x:c>
      <x:c r="Q19" s="16" t="n">
        <x:v>0</x:v>
      </x:c>
      <x:c r="R19" s="16" t="str">
        <x:v>Crafting</x:v>
      </x:c>
    </x:row>
    <x:row r="20" ht="32" customHeight="1">
      <x:c r="A20" s="15" t="n">
        <x:v>12</x:v>
      </x:c>
      <x:c r="B20" s="15" t="str">
        <x:v>Simple bow</x:v>
      </x:c>
      <x:c r="C20" s="15" t="n">
        <x:v>1</x:v>
      </x:c>
      <x:c r="D20" s="15" t="n">
        <x:v>1</x:v>
      </x:c>
      <x:c r="E20" s="15" t="n">
        <x:v>0</x:v>
      </x:c>
      <x:c r="F20" s="15" t="n">
        <x:v>1</x:v>
      </x:c>
      <x:c r="G20" s="15" t="n">
        <x:v>1</x:v>
      </x:c>
      <x:c r="H20" s="15" t="n">
        <x:v>1</x:v>
      </x:c>
      <x:c r="I20" s="15" t="str">
        <x:v>Ranger</x:v>
      </x:c>
      <x:c r="J20" s="15" t="str">
        <x:v>None</x:v>
      </x:c>
      <x:c r="K20" s="15" t="n">
        <x:v>5</x:v>
      </x:c>
      <x:c r="L20" s="15" t="n">
        <x:v>0</x:v>
      </x:c>
      <x:c r="M20" s="15" t="n">
        <x:v>5</x:v>
      </x:c>
      <x:c r="N20" s="15" t="n">
        <x:v>0</x:v>
      </x:c>
      <x:c r="O20" s="15" t="n">
        <x:v>0</x:v>
      </x:c>
      <x:c r="P20" s="15" t="n">
        <x:v>0</x:v>
      </x:c>
      <x:c r="Q20" s="15" t="n">
        <x:v>0</x:v>
      </x:c>
      <x:c r="R20" s="15" t="str">
        <x:v>Crafting</x:v>
      </x:c>
    </x:row>
    <x:row r="21" ht="32" customHeight="1">
      <x:c r="A21" s="16" t="n">
        <x:v>13</x:v>
      </x:c>
      <x:c r="B21" s="16" t="str">
        <x:v>Baseball bat</x:v>
      </x:c>
      <x:c r="C21" s="16" t="n">
        <x:v>1</x:v>
      </x:c>
      <x:c r="D21" s="16" t="n">
        <x:v>1</x:v>
      </x:c>
      <x:c r="E21" s="16" t="n">
        <x:v>0</x:v>
      </x:c>
      <x:c r="F21" s="16" t="n">
        <x:v>1</x:v>
      </x:c>
      <x:c r="G21" s="16" t="n">
        <x:v>1</x:v>
      </x:c>
      <x:c r="H21" s="16" t="n">
        <x:v>1</x:v>
      </x:c>
      <x:c r="I21" s="16" t="str">
        <x:v>Brawler</x:v>
      </x:c>
      <x:c r="J21" s="16" t="str">
        <x:v>None</x:v>
      </x:c>
      <x:c r="K21" s="16" t="n">
        <x:v>7</x:v>
      </x:c>
      <x:c r="L21" s="16" t="n">
        <x:v>0</x:v>
      </x:c>
      <x:c r="M21" s="16" t="n">
        <x:v>2</x:v>
      </x:c>
      <x:c r="N21" s="16" t="n">
        <x:v>0</x:v>
      </x:c>
      <x:c r="O21" s="16" t="n">
        <x:v>0</x:v>
      </x:c>
      <x:c r="P21" s="16" t="n">
        <x:v>0</x:v>
      </x:c>
      <x:c r="Q21" s="16" t="n">
        <x:v>0</x:v>
      </x:c>
      <x:c r="R21" s="16" t="str">
        <x:v>Crafting</x:v>
      </x:c>
    </x:row>
    <x:row r="22" ht="32" customHeight="1">
      <x:c r="A22" s="15" t="n">
        <x:v>14</x:v>
      </x:c>
      <x:c r="B22" s="15" t="str">
        <x:v>Claw hammer</x:v>
      </x:c>
      <x:c r="C22" s="15" t="n">
        <x:v>2</x:v>
      </x:c>
      <x:c r="D22" s="15" t="n">
        <x:v>2</x:v>
      </x:c>
      <x:c r="E22" s="15" t="n">
        <x:v>2</x:v>
      </x:c>
      <x:c r="F22" s="15" t="n">
        <x:v>2</x:v>
      </x:c>
      <x:c r="G22" s="15" t="n">
        <x:v>1</x:v>
      </x:c>
      <x:c r="H22" s="15" t="n">
        <x:v>1</x:v>
      </x:c>
      <x:c r="I22" s="15" t="str">
        <x:v>Brawler</x:v>
      </x:c>
      <x:c r="J22" s="15" t="str">
        <x:v>Wooden club</x:v>
      </x:c>
      <x:c r="K22" s="15" t="n">
        <x:v>3</x:v>
      </x:c>
      <x:c r="L22" s="15" t="n">
        <x:v>0</x:v>
      </x:c>
      <x:c r="M22" s="15" t="n">
        <x:v>0</x:v>
      </x:c>
      <x:c r="N22" s="15" t="n">
        <x:v>4</x:v>
      </x:c>
      <x:c r="O22" s="15" t="n">
        <x:v>0</x:v>
      </x:c>
      <x:c r="P22" s="15" t="n">
        <x:v>0</x:v>
      </x:c>
      <x:c r="Q22" s="15" t="n">
        <x:v>0</x:v>
      </x:c>
      <x:c r="R22" s="15" t="str">
        <x:v>Crafting</x:v>
      </x:c>
    </x:row>
    <x:row r="23" ht="32" customHeight="1">
      <x:c r="A23" s="16" t="n">
        <x:v>15</x:v>
      </x:c>
      <x:c r="B23" s="16" t="str">
        <x:v>Iron rod</x:v>
      </x:c>
      <x:c r="C23" s="16" t="n">
        <x:v>2</x:v>
      </x:c>
      <x:c r="D23" s="16" t="n">
        <x:v>2</x:v>
      </x:c>
      <x:c r="E23" s="16" t="n">
        <x:v>2</x:v>
      </x:c>
      <x:c r="F23" s="16" t="n">
        <x:v>2</x:v>
      </x:c>
      <x:c r="G23" s="16" t="n">
        <x:v>1</x:v>
      </x:c>
      <x:c r="H23" s="16" t="n">
        <x:v>1</x:v>
      </x:c>
      <x:c r="I23" s="16" t="str">
        <x:v>Brawler</x:v>
      </x:c>
      <x:c r="J23" s="16" t="str">
        <x:v>Wooden club</x:v>
      </x:c>
      <x:c r="K23" s="16" t="n">
        <x:v>3</x:v>
      </x:c>
      <x:c r="L23" s="16" t="n">
        <x:v>0</x:v>
      </x:c>
      <x:c r="M23" s="16" t="n">
        <x:v>0</x:v>
      </x:c>
      <x:c r="N23" s="16" t="n">
        <x:v>4</x:v>
      </x:c>
      <x:c r="O23" s="16" t="n">
        <x:v>0</x:v>
      </x:c>
      <x:c r="P23" s="16" t="n">
        <x:v>0</x:v>
      </x:c>
      <x:c r="Q23" s="16" t="n">
        <x:v>0</x:v>
      </x:c>
      <x:c r="R23" s="16" t="str">
        <x:v>Crafting</x:v>
      </x:c>
    </x:row>
    <x:row r="24" ht="32" customHeight="1">
      <x:c r="A24" s="15" t="n">
        <x:v>16</x:v>
      </x:c>
      <x:c r="B24" s="15" t="str">
        <x:v>Iron spear</x:v>
      </x:c>
      <x:c r="C24" s="15" t="n">
        <x:v>2</x:v>
      </x:c>
      <x:c r="D24" s="15" t="n">
        <x:v>2</x:v>
      </x:c>
      <x:c r="E24" s="15" t="n">
        <x:v>2</x:v>
      </x:c>
      <x:c r="F24" s="15" t="n">
        <x:v>2</x:v>
      </x:c>
      <x:c r="G24" s="15" t="n">
        <x:v>1</x:v>
      </x:c>
      <x:c r="H24" s="15" t="n">
        <x:v>1</x:v>
      </x:c>
      <x:c r="I24" s="15" t="str">
        <x:v>Brawler</x:v>
      </x:c>
      <x:c r="J24" s="15" t="str">
        <x:v>Stone spear</x:v>
      </x:c>
      <x:c r="K24" s="15" t="n">
        <x:v>3</x:v>
      </x:c>
      <x:c r="L24" s="15" t="n">
        <x:v>0</x:v>
      </x:c>
      <x:c r="M24" s="15" t="n">
        <x:v>0</x:v>
      </x:c>
      <x:c r="N24" s="15" t="n">
        <x:v>4</x:v>
      </x:c>
      <x:c r="O24" s="15" t="n">
        <x:v>0</x:v>
      </x:c>
      <x:c r="P24" s="15" t="n">
        <x:v>0</x:v>
      </x:c>
      <x:c r="Q24" s="15" t="n">
        <x:v>0</x:v>
      </x:c>
      <x:c r="R24" s="15" t="str">
        <x:v>Crafting</x:v>
      </x:c>
    </x:row>
    <x:row r="25" ht="32" customHeight="1">
      <x:c r="A25" s="16" t="n">
        <x:v>17</x:v>
      </x:c>
      <x:c r="B25" s="16" t="str">
        <x:v>Chainsaw</x:v>
      </x:c>
      <x:c r="C25" s="16" t="n">
        <x:v>3</x:v>
      </x:c>
      <x:c r="D25" s="16" t="n">
        <x:v>3</x:v>
      </x:c>
      <x:c r="E25" s="16" t="n">
        <x:v>3</x:v>
      </x:c>
      <x:c r="F25" s="16" t="n">
        <x:v>3</x:v>
      </x:c>
      <x:c r="G25" s="16" t="n">
        <x:v>2</x:v>
      </x:c>
      <x:c r="H25" s="16" t="n">
        <x:v>1</x:v>
      </x:c>
      <x:c r="I25" s="16" t="str">
        <x:v>Brawler</x:v>
      </x:c>
      <x:c r="J25" s="16" t="str">
        <x:v>Claw hammer</x:v>
      </x:c>
      <x:c r="K25" s="16" t="n">
        <x:v>3</x:v>
      </x:c>
      <x:c r="L25" s="16" t="n">
        <x:v>0</x:v>
      </x:c>
      <x:c r="M25" s="16" t="n">
        <x:v>0</x:v>
      </x:c>
      <x:c r="N25" s="16" t="n">
        <x:v>0</x:v>
      </x:c>
      <x:c r="O25" s="16" t="n">
        <x:v>5</x:v>
      </x:c>
      <x:c r="P25" s="16" t="n">
        <x:v>0</x:v>
      </x:c>
      <x:c r="Q25" s="16" t="n">
        <x:v>0</x:v>
      </x:c>
      <x:c r="R25" s="16" t="str">
        <x:v>Crafting</x:v>
      </x:c>
    </x:row>
    <x:row r="26" ht="32" customHeight="1">
      <x:c r="A26" s="15" t="n">
        <x:v>18</x:v>
      </x:c>
      <x:c r="B26" s="15" t="str">
        <x:v>Recurve bow</x:v>
      </x:c>
      <x:c r="C26" s="15" t="n">
        <x:v>3</x:v>
      </x:c>
      <x:c r="D26" s="15" t="n">
        <x:v>3</x:v>
      </x:c>
      <x:c r="E26" s="15" t="n">
        <x:v>3</x:v>
      </x:c>
      <x:c r="F26" s="15" t="n">
        <x:v>3</x:v>
      </x:c>
      <x:c r="G26" s="15" t="n">
        <x:v>2</x:v>
      </x:c>
      <x:c r="H26" s="15" t="n">
        <x:v>1</x:v>
      </x:c>
      <x:c r="I26" s="15" t="str">
        <x:v>Ranger</x:v>
      </x:c>
      <x:c r="J26" s="15" t="str">
        <x:v>Woodland bow</x:v>
      </x:c>
      <x:c r="K26" s="15" t="n">
        <x:v>5</x:v>
      </x:c>
      <x:c r="L26" s="15" t="n">
        <x:v>0</x:v>
      </x:c>
      <x:c r="M26" s="15" t="n">
        <x:v>5</x:v>
      </x:c>
      <x:c r="N26" s="15" t="n">
        <x:v>0</x:v>
      </x:c>
      <x:c r="O26" s="15" t="n">
        <x:v>5</x:v>
      </x:c>
      <x:c r="P26" s="15" t="n">
        <x:v>0</x:v>
      </x:c>
      <x:c r="Q26" s="15" t="n">
        <x:v>0</x:v>
      </x:c>
      <x:c r="R26" s="15" t="str">
        <x:v>Crafting</x:v>
      </x:c>
    </x:row>
    <x:row r="27" ht="32" customHeight="1">
      <x:c r="A27" s="16" t="n">
        <x:v>19</x:v>
      </x:c>
      <x:c r="B27" s="16" t="str">
        <x:v>Crossbow</x:v>
      </x:c>
      <x:c r="C27" s="16" t="n">
        <x:v>4</x:v>
      </x:c>
      <x:c r="D27" s="16" t="n">
        <x:v>4</x:v>
      </x:c>
      <x:c r="E27" s="16" t="n">
        <x:v>4</x:v>
      </x:c>
      <x:c r="F27" s="16" t="n">
        <x:v>4</x:v>
      </x:c>
      <x:c r="G27" s="16" t="n">
        <x:v>3</x:v>
      </x:c>
      <x:c r="H27" s="16" t="n">
        <x:v>1</x:v>
      </x:c>
      <x:c r="I27" s="16" t="str">
        <x:v>Ranger</x:v>
      </x:c>
      <x:c r="J27" s="16" t="str">
        <x:v>Recurve bow</x:v>
      </x:c>
      <x:c r="K27" s="16" t="n">
        <x:v>5</x:v>
      </x:c>
      <x:c r="L27" s="16" t="n">
        <x:v>0</x:v>
      </x:c>
      <x:c r="M27" s="16" t="n">
        <x:v>5</x:v>
      </x:c>
      <x:c r="N27" s="16" t="n">
        <x:v>0</x:v>
      </x:c>
      <x:c r="O27" s="16" t="n">
        <x:v>5</x:v>
      </x:c>
      <x:c r="P27" s="16" t="n">
        <x:v>3</x:v>
      </x:c>
      <x:c r="Q27" s="16" t="n">
        <x:v>0</x:v>
      </x:c>
      <x:c r="R27" s="16" t="str">
        <x:v>Crafting</x:v>
      </x:c>
    </x:row>
    <x:row r="28" ht="32" customHeight="1">
      <x:c r="A28" s="15" t="n">
        <x:v>20</x:v>
      </x:c>
      <x:c r="B28" s="15" t="str">
        <x:v>Machete</x:v>
      </x:c>
      <x:c r="C28" s="15" t="n">
        <x:v>3</x:v>
      </x:c>
      <x:c r="D28" s="15" t="n">
        <x:v>3</x:v>
      </x:c>
      <x:c r="E28" s="15" t="n">
        <x:v>3</x:v>
      </x:c>
      <x:c r="F28" s="15" t="n">
        <x:v>3</x:v>
      </x:c>
      <x:c r="G28" s="15" t="n">
        <x:v>2</x:v>
      </x:c>
      <x:c r="H28" s="15" t="n">
        <x:v>1</x:v>
      </x:c>
      <x:c r="I28" s="15" t="str">
        <x:v>Brawler</x:v>
      </x:c>
      <x:c r="J28" s="15" t="str">
        <x:v>Hunting knife</x:v>
      </x:c>
      <x:c r="K28" s="15" t="n">
        <x:v>3</x:v>
      </x:c>
      <x:c r="L28" s="15" t="n">
        <x:v>0</x:v>
      </x:c>
      <x:c r="M28" s="15" t="n">
        <x:v>0</x:v>
      </x:c>
      <x:c r="N28" s="15" t="n">
        <x:v>0</x:v>
      </x:c>
      <x:c r="O28" s="15" t="n">
        <x:v>5</x:v>
      </x:c>
      <x:c r="P28" s="15" t="n">
        <x:v>0</x:v>
      </x:c>
      <x:c r="Q28" s="15" t="n">
        <x:v>0</x:v>
      </x:c>
      <x:c r="R28" s="15" t="str">
        <x:v>Crafting</x:v>
      </x:c>
    </x:row>
    <x:row r="29" ht="32" customHeight="1">
      <x:c r="A29" s="16" t="n">
        <x:v>21</x:v>
      </x:c>
      <x:c r="B29" s="16" t="str">
        <x:v>Sledgehammer</x:v>
      </x:c>
      <x:c r="C29" s="16" t="n">
        <x:v>4</x:v>
      </x:c>
      <x:c r="D29" s="16" t="n">
        <x:v>4</x:v>
      </x:c>
      <x:c r="E29" s="16" t="n">
        <x:v>4</x:v>
      </x:c>
      <x:c r="F29" s="16" t="n">
        <x:v>4</x:v>
      </x:c>
      <x:c r="G29" s="16" t="n">
        <x:v>3</x:v>
      </x:c>
      <x:c r="H29" s="16" t="n">
        <x:v>1</x:v>
      </x:c>
      <x:c r="I29" s="16" t="str">
        <x:v>Brawler</x:v>
      </x:c>
      <x:c r="J29" s="16" t="str">
        <x:v>Claw hammer</x:v>
      </x:c>
      <x:c r="K29" s="16" t="n">
        <x:v>3</x:v>
      </x:c>
      <x:c r="L29" s="16" t="n">
        <x:v>0</x:v>
      </x:c>
      <x:c r="M29" s="16" t="n">
        <x:v>0</x:v>
      </x:c>
      <x:c r="N29" s="16" t="n">
        <x:v>0</x:v>
      </x:c>
      <x:c r="O29" s="16" t="n">
        <x:v>5</x:v>
      </x:c>
      <x:c r="P29" s="16" t="n">
        <x:v>3</x:v>
      </x:c>
      <x:c r="Q29" s="16" t="n">
        <x:v>0</x:v>
      </x:c>
      <x:c r="R29" s="16" t="str">
        <x:v>Crafting</x:v>
      </x:c>
    </x:row>
    <x:row r="30" ht="32" customHeight="1">
      <x:c r="A30" s="15" t="n">
        <x:v>22</x:v>
      </x:c>
      <x:c r="B30" s="15" t="str">
        <x:v>Stone knife</x:v>
      </x:c>
      <x:c r="C30" s="15" t="n">
        <x:v>1</x:v>
      </x:c>
      <x:c r="D30" s="15" t="n">
        <x:v>1</x:v>
      </x:c>
      <x:c r="E30" s="15" t="n">
        <x:v>0</x:v>
      </x:c>
      <x:c r="F30" s="15" t="n">
        <x:v>1</x:v>
      </x:c>
      <x:c r="G30" s="15" t="n">
        <x:v>1</x:v>
      </x:c>
      <x:c r="H30" s="15" t="n">
        <x:v>1</x:v>
      </x:c>
      <x:c r="I30" s="15" t="str">
        <x:v>Brawler</x:v>
      </x:c>
      <x:c r="J30" s="15" t="str">
        <x:v>None</x:v>
      </x:c>
      <x:c r="K30" s="15" t="n">
        <x:v>3</x:v>
      </x:c>
      <x:c r="L30" s="15" t="n">
        <x:v>0</x:v>
      </x:c>
      <x:c r="M30" s="15" t="n">
        <x:v>0</x:v>
      </x:c>
      <x:c r="N30" s="15" t="n">
        <x:v>0</x:v>
      </x:c>
      <x:c r="O30" s="15" t="n">
        <x:v>0</x:v>
      </x:c>
      <x:c r="P30" s="15" t="n">
        <x:v>0</x:v>
      </x:c>
      <x:c r="Q30" s="15" t="n">
        <x:v>0</x:v>
      </x:c>
      <x:c r="R30" s="15" t="str">
        <x:v>Crafting</x:v>
      </x:c>
    </x:row>
    <x:row r="31" ht="32" customHeight="1">
      <x:c r="A31" s="16" t="n">
        <x:v>23</x:v>
      </x:c>
      <x:c r="B31" s="16" t="str">
        <x:v>Hunting knife</x:v>
      </x:c>
      <x:c r="C31" s="16" t="n">
        <x:v>2</x:v>
      </x:c>
      <x:c r="D31" s="16" t="n">
        <x:v>2</x:v>
      </x:c>
      <x:c r="E31" s="16" t="n">
        <x:v>2</x:v>
      </x:c>
      <x:c r="F31" s="16" t="n">
        <x:v>2</x:v>
      </x:c>
      <x:c r="G31" s="16" t="n">
        <x:v>1</x:v>
      </x:c>
      <x:c r="H31" s="16" t="n">
        <x:v>1</x:v>
      </x:c>
      <x:c r="I31" s="16" t="str">
        <x:v>Brawler</x:v>
      </x:c>
      <x:c r="J31" s="16" t="str">
        <x:v>Stone knife</x:v>
      </x:c>
      <x:c r="K31" s="16" t="n">
        <x:v>3</x:v>
      </x:c>
      <x:c r="L31" s="16" t="n">
        <x:v>0</x:v>
      </x:c>
      <x:c r="M31" s="16" t="n">
        <x:v>0</x:v>
      </x:c>
      <x:c r="N31" s="16" t="n">
        <x:v>4</x:v>
      </x:c>
      <x:c r="O31" s="16" t="n">
        <x:v>0</x:v>
      </x:c>
      <x:c r="P31" s="16" t="n">
        <x:v>0</x:v>
      </x:c>
      <x:c r="Q31" s="16" t="n">
        <x:v>0</x:v>
      </x:c>
      <x:c r="R31" s="16" t="str">
        <x:v>Crafting</x:v>
      </x:c>
    </x:row>
    <x:row r="32" ht="32" customHeight="1">
      <x:c r="A32" s="15" t="n">
        <x:v>24</x:v>
      </x:c>
      <x:c r="B32" s="15" t="str">
        <x:v>Scrap sword</x:v>
      </x:c>
      <x:c r="C32" s="15" t="n">
        <x:v>2</x:v>
      </x:c>
      <x:c r="D32" s="15" t="n">
        <x:v>2</x:v>
      </x:c>
      <x:c r="E32" s="15" t="n">
        <x:v>2</x:v>
      </x:c>
      <x:c r="F32" s="15" t="n">
        <x:v>2</x:v>
      </x:c>
      <x:c r="G32" s="15" t="n">
        <x:v>1</x:v>
      </x:c>
      <x:c r="H32" s="15" t="n">
        <x:v>1</x:v>
      </x:c>
      <x:c r="I32" s="15" t="str">
        <x:v>Brawler</x:v>
      </x:c>
      <x:c r="J32" s="15" t="str">
        <x:v>Hunting knife</x:v>
      </x:c>
      <x:c r="K32" s="15" t="n">
        <x:v>3</x:v>
      </x:c>
      <x:c r="L32" s="15" t="n">
        <x:v>0</x:v>
      </x:c>
      <x:c r="M32" s="15" t="n">
        <x:v>0</x:v>
      </x:c>
      <x:c r="N32" s="15" t="n">
        <x:v>4</x:v>
      </x:c>
      <x:c r="O32" s="15" t="n">
        <x:v>0</x:v>
      </x:c>
      <x:c r="P32" s="15" t="n">
        <x:v>0</x:v>
      </x:c>
      <x:c r="Q32" s="15" t="n">
        <x:v>0</x:v>
      </x:c>
      <x:c r="R32" s="15" t="str">
        <x:v>Crafting</x:v>
      </x:c>
    </x:row>
    <x:row r="33" ht="32" customHeight="1">
      <x:c r="A33" s="16" t="n">
        <x:v>25</x:v>
      </x:c>
      <x:c r="B33" s="16" t="str">
        <x:v>Forged sword</x:v>
      </x:c>
      <x:c r="C33" s="16" t="n">
        <x:v>3</x:v>
      </x:c>
      <x:c r="D33" s="16" t="n">
        <x:v>3</x:v>
      </x:c>
      <x:c r="E33" s="16" t="n">
        <x:v>3</x:v>
      </x:c>
      <x:c r="F33" s="16" t="n">
        <x:v>3</x:v>
      </x:c>
      <x:c r="G33" s="16" t="n">
        <x:v>2</x:v>
      </x:c>
      <x:c r="H33" s="16" t="n">
        <x:v>1</x:v>
      </x:c>
      <x:c r="I33" s="16" t="str">
        <x:v>Brawler</x:v>
      </x:c>
      <x:c r="J33" s="16" t="str">
        <x:v>Scrap sword</x:v>
      </x:c>
      <x:c r="K33" s="16" t="n">
        <x:v>3</x:v>
      </x:c>
      <x:c r="L33" s="16" t="n">
        <x:v>0</x:v>
      </x:c>
      <x:c r="M33" s="16" t="n">
        <x:v>0</x:v>
      </x:c>
      <x:c r="N33" s="16" t="n">
        <x:v>0</x:v>
      </x:c>
      <x:c r="O33" s="16" t="n">
        <x:v>5</x:v>
      </x:c>
      <x:c r="P33" s="16" t="n">
        <x:v>0</x:v>
      </x:c>
      <x:c r="Q33" s="16" t="n">
        <x:v>0</x:v>
      </x:c>
      <x:c r="R33" s="16" t="str">
        <x:v>Crafting</x:v>
      </x:c>
    </x:row>
    <x:row r="34" ht="32" customHeight="1">
      <x:c r="A34" s="15" t="n">
        <x:v>26</x:v>
      </x:c>
      <x:c r="B34" s="15" t="str">
        <x:v>Alloy longsword</x:v>
      </x:c>
      <x:c r="C34" s="15" t="n">
        <x:v>4</x:v>
      </x:c>
      <x:c r="D34" s="15" t="n">
        <x:v>4</x:v>
      </x:c>
      <x:c r="E34" s="15" t="n">
        <x:v>4</x:v>
      </x:c>
      <x:c r="F34" s="15" t="n">
        <x:v>4</x:v>
      </x:c>
      <x:c r="G34" s="15" t="n">
        <x:v>3</x:v>
      </x:c>
      <x:c r="H34" s="15" t="n">
        <x:v>1</x:v>
      </x:c>
      <x:c r="I34" s="15" t="str">
        <x:v>Brawler</x:v>
      </x:c>
      <x:c r="J34" s="15" t="str">
        <x:v>Forged sword</x:v>
      </x:c>
      <x:c r="K34" s="15" t="n">
        <x:v>3</x:v>
      </x:c>
      <x:c r="L34" s="15" t="n">
        <x:v>0</x:v>
      </x:c>
      <x:c r="M34" s="15" t="n">
        <x:v>0</x:v>
      </x:c>
      <x:c r="N34" s="15" t="n">
        <x:v>0</x:v>
      </x:c>
      <x:c r="O34" s="15" t="n">
        <x:v>5</x:v>
      </x:c>
      <x:c r="P34" s="15" t="n">
        <x:v>3</x:v>
      </x:c>
      <x:c r="Q34" s="15" t="n">
        <x:v>0</x:v>
      </x:c>
      <x:c r="R34" s="15" t="str">
        <x:v>Crafting</x:v>
      </x:c>
    </x:row>
    <x:row r="35" ht="32" customHeight="1">
      <x:c r="A35" s="16" t="n">
        <x:v>27</x:v>
      </x:c>
      <x:c r="B35" s="16" t="str">
        <x:v>Stormfire chain sword</x:v>
      </x:c>
      <x:c r="C35" s="16" t="n">
        <x:v>5</x:v>
      </x:c>
      <x:c r="D35" s="16" t="n">
        <x:v>5</x:v>
      </x:c>
      <x:c r="E35" s="16" t="n">
        <x:v>5</x:v>
      </x:c>
      <x:c r="F35" s="16" t="n">
        <x:v>5</x:v>
      </x:c>
      <x:c r="G35" s="16" t="n">
        <x:v>4</x:v>
      </x:c>
      <x:c r="H35" s="16" t="n">
        <x:v>1</x:v>
      </x:c>
      <x:c r="I35" s="16" t="str">
        <x:v>Brawler</x:v>
      </x:c>
      <x:c r="J35" s="16" t="str">
        <x:v>Chainsaw</x:v>
      </x:c>
      <x:c r="K35" s="16" t="n">
        <x:v>3</x:v>
      </x:c>
      <x:c r="L35" s="16" t="n">
        <x:v>0</x:v>
      </x:c>
      <x:c r="M35" s="16" t="n">
        <x:v>0</x:v>
      </x:c>
      <x:c r="N35" s="16" t="n">
        <x:v>0</x:v>
      </x:c>
      <x:c r="O35" s="16" t="n">
        <x:v>5</x:v>
      </x:c>
      <x:c r="P35" s="16" t="n">
        <x:v>3</x:v>
      </x:c>
      <x:c r="Q35" s="16" t="n">
        <x:v>8</x:v>
      </x:c>
      <x:c r="R35" s="16" t="str">
        <x:v>Crafting; own a chainsaw first</x:v>
      </x:c>
    </x:row>
    <x:row r="36" ht="32" customHeight="1">
      <x:c r="A36" s="15" t="n">
        <x:v>28</x:v>
      </x:c>
      <x:c r="B36" s="15" t="str">
        <x:v>9mm salvage revolver</x:v>
      </x:c>
      <x:c r="C36" s="15" t="n">
        <x:v>2</x:v>
      </x:c>
      <x:c r="D36" s="15" t="n">
        <x:v>2</x:v>
      </x:c>
      <x:c r="E36" s="15" t="n">
        <x:v>2</x:v>
      </x:c>
      <x:c r="F36" s="15" t="n">
        <x:v>2</x:v>
      </x:c>
      <x:c r="G36" s="15" t="n">
        <x:v>1</x:v>
      </x:c>
      <x:c r="H36" s="15" t="n">
        <x:v>2</x:v>
      </x:c>
      <x:c r="I36" s="15" t="str">
        <x:v>Ballistics</x:v>
      </x:c>
      <x:c r="J36" s="15" t="str">
        <x:v>Trail pistol</x:v>
      </x:c>
      <x:c r="K36" s="15" t="n">
        <x:v>2</x:v>
      </x:c>
      <x:c r="L36" s="15" t="n">
        <x:v>0</x:v>
      </x:c>
      <x:c r="M36" s="15" t="n">
        <x:v>2</x:v>
      </x:c>
      <x:c r="N36" s="15" t="n">
        <x:v>7</x:v>
      </x:c>
      <x:c r="O36" s="15" t="n">
        <x:v>0</x:v>
      </x:c>
      <x:c r="P36" s="15" t="n">
        <x:v>0</x:v>
      </x:c>
      <x:c r="Q36" s="15" t="n">
        <x:v>0</x:v>
      </x:c>
      <x:c r="R36" s="15" t="str">
        <x:v>Crafting</x:v>
      </x:c>
    </x:row>
    <x:row r="37" ht="32" customHeight="1">
      <x:c r="A37" s="16" t="n">
        <x:v>29</x:v>
      </x:c>
      <x:c r="B37" s="16" t="str">
        <x:v>9mm compact SMG</x:v>
      </x:c>
      <x:c r="C37" s="16" t="n">
        <x:v>3</x:v>
      </x:c>
      <x:c r="D37" s="16" t="n">
        <x:v>3</x:v>
      </x:c>
      <x:c r="E37" s="16" t="n">
        <x:v>3</x:v>
      </x:c>
      <x:c r="F37" s="16" t="n">
        <x:v>3</x:v>
      </x:c>
      <x:c r="G37" s="16" t="n">
        <x:v>2</x:v>
      </x:c>
      <x:c r="H37" s="16" t="n">
        <x:v>2</x:v>
      </x:c>
      <x:c r="I37" s="16" t="str">
        <x:v>Ballistics</x:v>
      </x:c>
      <x:c r="J37" s="16" t="str">
        <x:v>Trail pistol</x:v>
      </x:c>
      <x:c r="K37" s="16" t="n">
        <x:v>2</x:v>
      </x:c>
      <x:c r="L37" s="16" t="n">
        <x:v>0</x:v>
      </x:c>
      <x:c r="M37" s="16" t="n">
        <x:v>2</x:v>
      </x:c>
      <x:c r="N37" s="16" t="n">
        <x:v>3</x:v>
      </x:c>
      <x:c r="O37" s="16" t="n">
        <x:v>8</x:v>
      </x:c>
      <x:c r="P37" s="16" t="n">
        <x:v>0</x:v>
      </x:c>
      <x:c r="Q37" s="16" t="n">
        <x:v>0</x:v>
      </x:c>
      <x:c r="R37" s="16" t="str">
        <x:v>Crafting</x:v>
      </x:c>
    </x:row>
    <x:row r="38" ht="32" customHeight="1">
      <x:c r="A38" s="15" t="n">
        <x:v>30</x:v>
      </x:c>
      <x:c r="B38" s="15" t="str">
        <x:v>Pump-action shotgun</x:v>
      </x:c>
      <x:c r="C38" s="15" t="n">
        <x:v>4</x:v>
      </x:c>
      <x:c r="D38" s="15" t="n">
        <x:v>4</x:v>
      </x:c>
      <x:c r="E38" s="15" t="n">
        <x:v>4</x:v>
      </x:c>
      <x:c r="F38" s="15" t="n">
        <x:v>4</x:v>
      </x:c>
      <x:c r="G38" s="15" t="n">
        <x:v>3</x:v>
      </x:c>
      <x:c r="H38" s="15" t="n">
        <x:v>2</x:v>
      </x:c>
      <x:c r="I38" s="15" t="str">
        <x:v>Ballistics</x:v>
      </x:c>
      <x:c r="J38" s="15" t="str">
        <x:v>Scrap shotgun</x:v>
      </x:c>
      <x:c r="K38" s="15" t="n">
        <x:v>2</x:v>
      </x:c>
      <x:c r="L38" s="15" t="n">
        <x:v>0</x:v>
      </x:c>
      <x:c r="M38" s="15" t="n">
        <x:v>2</x:v>
      </x:c>
      <x:c r="N38" s="15" t="n">
        <x:v>3</x:v>
      </x:c>
      <x:c r="O38" s="15" t="n">
        <x:v>8</x:v>
      </x:c>
      <x:c r="P38" s="15" t="n">
        <x:v>5</x:v>
      </x:c>
      <x:c r="Q38" s="15" t="n">
        <x:v>0</x:v>
      </x:c>
      <x:c r="R38" s="15" t="str">
        <x:v>Crafting</x:v>
      </x:c>
    </x:row>
    <x:row r="39" ht="32" customHeight="1">
      <x:c r="A39" s="16" t="n">
        <x:v>31</x:v>
      </x:c>
      <x:c r="B39" s="16" t="str">
        <x:v>Battle rifle</x:v>
      </x:c>
      <x:c r="C39" s="16" t="n">
        <x:v>4</x:v>
      </x:c>
      <x:c r="D39" s="16" t="n">
        <x:v>4</x:v>
      </x:c>
      <x:c r="E39" s="16" t="n">
        <x:v>4</x:v>
      </x:c>
      <x:c r="F39" s="16" t="n">
        <x:v>4</x:v>
      </x:c>
      <x:c r="G39" s="16" t="n">
        <x:v>3</x:v>
      </x:c>
      <x:c r="H39" s="16" t="n">
        <x:v>2</x:v>
      </x:c>
      <x:c r="I39" s="16" t="str">
        <x:v>Ballistics</x:v>
      </x:c>
      <x:c r="J39" s="16" t="str">
        <x:v>Woodland rifle</x:v>
      </x:c>
      <x:c r="K39" s="16" t="n">
        <x:v>2</x:v>
      </x:c>
      <x:c r="L39" s="16" t="n">
        <x:v>0</x:v>
      </x:c>
      <x:c r="M39" s="16" t="n">
        <x:v>2</x:v>
      </x:c>
      <x:c r="N39" s="16" t="n">
        <x:v>3</x:v>
      </x:c>
      <x:c r="O39" s="16" t="n">
        <x:v>8</x:v>
      </x:c>
      <x:c r="P39" s="16" t="n">
        <x:v>5</x:v>
      </x:c>
      <x:c r="Q39" s="16" t="n">
        <x:v>0</x:v>
      </x:c>
      <x:c r="R39" s="16" t="str">
        <x:v>Crafting</x:v>
      </x:c>
    </x:row>
    <x:row r="40" ht="32" customHeight="1">
      <x:c r="A40" s="15" t="n">
        <x:v>32</x:v>
      </x:c>
      <x:c r="B40" s="15" t="str">
        <x:v>Compound bow</x:v>
      </x:c>
      <x:c r="C40" s="15" t="n">
        <x:v>4</x:v>
      </x:c>
      <x:c r="D40" s="15" t="n">
        <x:v>4</x:v>
      </x:c>
      <x:c r="E40" s="15" t="n">
        <x:v>4</x:v>
      </x:c>
      <x:c r="F40" s="15" t="n">
        <x:v>4</x:v>
      </x:c>
      <x:c r="G40" s="15" t="n">
        <x:v>3</x:v>
      </x:c>
      <x:c r="H40" s="15" t="n">
        <x:v>1</x:v>
      </x:c>
      <x:c r="I40" s="15" t="str">
        <x:v>Ranger</x:v>
      </x:c>
      <x:c r="J40" s="15" t="str">
        <x:v>Recurve bow</x:v>
      </x:c>
      <x:c r="K40" s="15" t="n">
        <x:v>6</x:v>
      </x:c>
      <x:c r="L40" s="15" t="n">
        <x:v>0</x:v>
      </x:c>
      <x:c r="M40" s="15" t="n">
        <x:v>6</x:v>
      </x:c>
      <x:c r="N40" s="15" t="n">
        <x:v>3</x:v>
      </x:c>
      <x:c r="O40" s="15" t="n">
        <x:v>8</x:v>
      </x:c>
      <x:c r="P40" s="15" t="n">
        <x:v>5</x:v>
      </x:c>
      <x:c r="Q40" s="15" t="n">
        <x:v>0</x:v>
      </x:c>
      <x:c r="R40" s="15" t="str">
        <x:v>Crafting</x:v>
      </x:c>
    </x:row>
    <x:row r="41" ht="32" customHeight="1">
      <x:c r="A41" s="16" t="n">
        <x:v>33</x:v>
      </x:c>
      <x:c r="B41" s="16" t="str">
        <x:v>Polehammer</x:v>
      </x:c>
      <x:c r="C41" s="16" t="n">
        <x:v>3</x:v>
      </x:c>
      <x:c r="D41" s="16" t="n">
        <x:v>3</x:v>
      </x:c>
      <x:c r="E41" s="16" t="n">
        <x:v>3</x:v>
      </x:c>
      <x:c r="F41" s="16" t="n">
        <x:v>3</x:v>
      </x:c>
      <x:c r="G41" s="16" t="n">
        <x:v>2</x:v>
      </x:c>
      <x:c r="H41" s="16" t="n">
        <x:v>1</x:v>
      </x:c>
      <x:c r="I41" s="16" t="str">
        <x:v>Brawler</x:v>
      </x:c>
      <x:c r="J41" s="16" t="str">
        <x:v>Iron spear</x:v>
      </x:c>
      <x:c r="K41" s="16" t="n">
        <x:v>6</x:v>
      </x:c>
      <x:c r="L41" s="16" t="n">
        <x:v>0</x:v>
      </x:c>
      <x:c r="M41" s="16" t="n">
        <x:v>2</x:v>
      </x:c>
      <x:c r="N41" s="16" t="n">
        <x:v>3</x:v>
      </x:c>
      <x:c r="O41" s="16" t="n">
        <x:v>8</x:v>
      </x:c>
      <x:c r="P41" s="16" t="n">
        <x:v>0</x:v>
      </x:c>
      <x:c r="Q41" s="16" t="n">
        <x:v>0</x:v>
      </x:c>
      <x:c r="R41" s="16" t="str">
        <x:v>Crafting</x:v>
      </x:c>
    </x:row>
    <x:row r="44">
      <x:c r="A44" s="22" t="str">
        <x:v>Workshop 0 means hand crafting. All guns require character level 2 AND tier 2 exploration, including looted guns.</x:v>
      </x:c>
    </x:row>
    <x:row r="45">
      <x:c r="A45" s="22" t="str">
        <x:v>Recipe tier controls exploration, workshop, Crafting level and research gates. All material columns show the cost for one weapon.</x:v>
      </x:c>
    </x:row>
    <x:row r="46">
      <x:c r="A46" s="22" t="str">
        <x:v>No recipe currently exists for Trail rifle (ID 1); it is available in the Broodheart and Iron Mourner Soulbound pools.</x:v>
      </x:c>
    </x:row>
    <x:row r="47">
      <x:c r="A47" s="22" t="str">
        <x:v>The current basic enemy gun drop pool is IDs 2–5 at matching tiers. Other special encounters may grant additional equipment.</x:v>
      </x:c>
    </x:row>
    <x:row r="48">
      <x:c r="A48" s="22" t="str">
        <x:v>Sources: game/Scripts/Logic/ExpeditionCraftingRules.cs; ExpeditionWeaponProgression.cs; ExpeditionWeaponWorkshop.cs; ExpeditionResearchProgress.cs; ExpeditionResearchChoices.cs; ExpeditionGame.cs.</x:v>
      </x:c>
    </x:row>
  </x:sheetData>
  <x:pageMargins left="0.7" right="0.7" top="0.75" bottom="0.75" header="0.3" footer="0.3"/>
  <x:tableParts count="1">
    <x:tablePart xmlns:r="http://schemas.openxmlformats.org/officeDocument/2006/relationships" r:id="Rc224010bab7d4388"/>
  </x:tableParts>
</x:worksheet>
</file>

<file path=xl/worksheets/sheet3.xml><?xml version="1.0" encoding="utf-8"?>
<x:worksheet xmlns:x="http://schemas.openxmlformats.org/spreadsheetml/2006/main">
  <x:sheetPr>
    <x:tabColor rgb="FF26332C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4" hidden="0" customWidth="1"/>
    <x:col min="4" max="4" width="20" hidden="0" customWidth="1"/>
    <x:col min="5" max="5" width="68" hidden="0" customWidth="1"/>
    <x:col min="6" max="6" width="9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7" hidden="0" customWidth="1"/>
    <x:col min="13" max="13" width="1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5" t="str">
        <x:v>Weapon attachments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>
      <x:c r="A4" s="8" t="str">
        <x:v>One attachment per slot. Replaced parts return to your inventory. Installation requires a workshop matching the part tier.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36" customHeight="1">
      <x:c r="A7" s="14" t="str">
        <x:v>Attachment</x:v>
      </x:c>
      <x:c r="B7" s="14" t="str">
        <x:v>Slot</x:v>
      </x:c>
      <x:c r="C7" s="14" t="str">
        <x:v>Tier / RP</x:v>
      </x:c>
      <x:c r="D7" s="14" t="str">
        <x:v>Research family</x:v>
      </x:c>
      <x:c r="E7" s="14" t="str">
        <x:v>Effect</x:v>
      </x:c>
      <x:c r="F7" s="14" t="str">
        <x:v>Compatible weapons</x:v>
      </x:c>
      <x:c r="G7" s="14" t="str">
        <x:v>Timber</x:v>
      </x:c>
      <x:c r="H7" s="14" t="str">
        <x:v>Stone</x:v>
      </x:c>
      <x:c r="I7" s="14" t="str">
        <x:v>Fiber</x:v>
      </x:c>
      <x:c r="J7" s="14" t="str">
        <x:v>Forest resin</x:v>
      </x:c>
      <x:c r="K7" s="14" t="str">
        <x:v>Alloy scrap</x:v>
      </x:c>
      <x:c r="L7" s="14" t="str">
        <x:v>Electronics</x:v>
      </x:c>
      <x:c r="M7" s="14" t="str">
        <x:v>Bioalloy</x:v>
      </x:c>
    </x:row>
    <x:row r="8" ht="70" customHeight="1">
      <x:c r="A8" s="15" t="str">
        <x:v>Cord-wrapped grip</x:v>
      </x:c>
      <x:c r="B8" s="15" t="str">
        <x:v>Grip</x:v>
      </x:c>
      <x:c r="C8" s="15" t="n">
        <x:v>1</x:v>
      </x:c>
      <x:c r="D8" s="15" t="str">
        <x:v>Brawler</x:v>
      </x:c>
      <x:c r="E8" s="19" t="str">
        <x:v>15% less stamina per swing.</x:v>
      </x:c>
      <x:c r="F8" s="19" t="str">
        <x:v>Sturdy stick, Hand stone, Wooden club, Stone spear, Baseball bat, Claw hammer, Iron rod, Iron spear, Machete, Sledgehammer, Stone knife, Hunting knife, Scrap sword, Forged sword, Alloy longsword, Polehammer</x:v>
      </x:c>
      <x:c r="G8" s="15" t="n">
        <x:v>3</x:v>
      </x:c>
      <x:c r="H8" s="15" t="n">
        <x:v>0</x:v>
      </x:c>
      <x:c r="I8" s="15" t="n">
        <x:v>4</x:v>
      </x:c>
      <x:c r="J8" s="15" t="n">
        <x:v>0</x:v>
      </x:c>
      <x:c r="K8" s="15" t="n">
        <x:v>0</x:v>
      </x:c>
      <x:c r="L8" s="15" t="n">
        <x:v>0</x:v>
      </x:c>
      <x:c r="M8" s="15" t="n">
        <x:v>0</x:v>
      </x:c>
    </x:row>
    <x:row r="9" ht="70" customHeight="1">
      <x:c r="A9" s="16" t="str">
        <x:v>Weighted striking head</x:v>
      </x:c>
      <x:c r="B9" s="16" t="str">
        <x:v>Head</x:v>
      </x:c>
      <x:c r="C9" s="16" t="n">
        <x:v>2</x:v>
      </x:c>
      <x:c r="D9" s="16" t="str">
        <x:v>Brawler</x:v>
      </x:c>
      <x:c r="E9" s="20" t="str">
        <x:v>20% damage; 20% slower swings and 20% more stamina.</x:v>
      </x:c>
      <x:c r="F9" s="20" t="str">
        <x:v>Wooden club, Baseball bat, Claw hammer, Iron rod, Sledgehammer, Polehammer</x:v>
      </x:c>
      <x:c r="G9" s="16" t="n">
        <x:v>0</x:v>
      </x:c>
      <x:c r="H9" s="16" t="n">
        <x:v>0</x:v>
      </x:c>
      <x:c r="I9" s="16" t="n">
        <x:v>2</x:v>
      </x:c>
      <x:c r="J9" s="16" t="n">
        <x:v>4</x:v>
      </x:c>
      <x:c r="K9" s="16" t="n">
        <x:v>0</x:v>
      </x:c>
      <x:c r="L9" s="16" t="n">
        <x:v>0</x:v>
      </x:c>
      <x:c r="M9" s="16" t="n">
        <x:v>0</x:v>
      </x:c>
    </x:row>
    <x:row r="10" ht="70" customHeight="1">
      <x:c r="A10" s="15" t="str">
        <x:v>Honed steel edge</x:v>
      </x:c>
      <x:c r="B10" s="15" t="str">
        <x:v>Head</x:v>
      </x:c>
      <x:c r="C10" s="15" t="n">
        <x:v>2</x:v>
      </x:c>
      <x:c r="D10" s="15" t="str">
        <x:v>Brawler</x:v>
      </x:c>
      <x:c r="E10" s="19" t="str">
        <x:v>15% damage. Fits steel blades and spearheads.</x:v>
      </x:c>
      <x:c r="F10" s="19" t="str">
        <x:v>Iron spear, Machete, Hunting knife, Scrap sword, Forged sword, Alloy longsword</x:v>
      </x:c>
      <x:c r="G10" s="15" t="n">
        <x:v>0</x:v>
      </x:c>
      <x:c r="H10" s="15" t="n">
        <x:v>0</x:v>
      </x:c>
      <x:c r="I10" s="15" t="n">
        <x:v>2</x:v>
      </x:c>
      <x:c r="J10" s="15" t="n">
        <x:v>4</x:v>
      </x:c>
      <x:c r="K10" s="15" t="n">
        <x:v>0</x:v>
      </x:c>
      <x:c r="L10" s="15" t="n">
        <x:v>0</x:v>
      </x:c>
      <x:c r="M10" s="15" t="n">
        <x:v>0</x:v>
      </x:c>
    </x:row>
    <x:row r="11" ht="70" customHeight="1">
      <x:c r="A11" s="16" t="str">
        <x:v>Field suppressor</x:v>
      </x:c>
      <x:c r="B11" s="16" t="str">
        <x:v>Muzzle</x:v>
      </x:c>
      <x:c r="C11" s="16" t="n">
        <x:v>3</x:v>
      </x:c>
      <x:c r="D11" s="16" t="str">
        <x:v>Ballistics</x:v>
      </x:c>
      <x:c r="E11" s="20" t="str">
        <x:v>50% less gunshot noise; 10% more spread. Shots still attract nearby infected.</x:v>
      </x:c>
      <x:c r="F11" s="20" t="str">
        <x:v>Trail pistol, Trail rifle, Woodland rifle, Industrial carbine, Precision rifle, 9mm compact SMG, Battle rifle</x:v>
      </x:c>
      <x:c r="G11" s="16" t="n">
        <x:v>0</x:v>
      </x:c>
      <x:c r="H11" s="16" t="n">
        <x:v>0</x:v>
      </x:c>
      <x:c r="I11" s="16" t="n">
        <x:v>2</x:v>
      </x:c>
      <x:c r="J11" s="16" t="n">
        <x:v>0</x:v>
      </x:c>
      <x:c r="K11" s="16" t="n">
        <x:v>5</x:v>
      </x:c>
      <x:c r="L11" s="16" t="n">
        <x:v>0</x:v>
      </x:c>
      <x:c r="M11" s="16" t="n">
        <x:v>0</x:v>
      </x:c>
    </x:row>
    <x:row r="12" ht="70" customHeight="1">
      <x:c r="A12" s="15" t="str">
        <x:v>Ported muzzle brake</x:v>
      </x:c>
      <x:c r="B12" s="15" t="str">
        <x:v>Muzzle</x:v>
      </x:c>
      <x:c r="C12" s="15" t="n">
        <x:v>3</x:v>
      </x:c>
      <x:c r="D12" s="15" t="str">
        <x:v>Ballistics</x:v>
      </x:c>
      <x:c r="E12" s="19" t="str">
        <x:v>30% less recoil; 25% louder shots. Replaces a suppressor.</x:v>
      </x:c>
      <x:c r="F12" s="19" t="str">
        <x:v>Trail pistol, Trail rifle, Woodland rifle, Industrial carbine, Precision rifle, 9mm compact SMG, Battle rifle</x:v>
      </x:c>
      <x:c r="G12" s="15" t="n">
        <x:v>0</x:v>
      </x:c>
      <x:c r="H12" s="15" t="n">
        <x:v>0</x:v>
      </x:c>
      <x:c r="I12" s="15" t="n">
        <x:v>2</x:v>
      </x:c>
      <x:c r="J12" s="15" t="n">
        <x:v>0</x:v>
      </x:c>
      <x:c r="K12" s="15" t="n">
        <x:v>5</x:v>
      </x:c>
      <x:c r="L12" s="15" t="n">
        <x:v>0</x:v>
      </x:c>
      <x:c r="M12" s="15" t="n">
        <x:v>0</x:v>
      </x:c>
    </x:row>
    <x:row r="13" ht="70" customHeight="1">
      <x:c r="A13" s="16" t="str">
        <x:v>Magnified field optic</x:v>
      </x:c>
      <x:c r="B13" s="16" t="str">
        <x:v>Optic</x:v>
      </x:c>
      <x:c r="C13" s="16" t="n">
        <x:v>3</x:v>
      </x:c>
      <x:c r="D13" s="16" t="str">
        <x:v>Ballistics</x:v>
      </x:c>
      <x:c r="E13" s="20" t="str">
        <x:v>Magnified aim and 20% less spread; 10% slower reloads.</x:v>
      </x:c>
      <x:c r="F13" s="20" t="str">
        <x:v>Trail rifle, Woodland rifle, Industrial carbine, Precision rifle, Experimental rifle, Battle rifle</x:v>
      </x:c>
      <x:c r="G13" s="16" t="n">
        <x:v>0</x:v>
      </x:c>
      <x:c r="H13" s="16" t="n">
        <x:v>0</x:v>
      </x:c>
      <x:c r="I13" s="16" t="n">
        <x:v>2</x:v>
      </x:c>
      <x:c r="J13" s="16" t="n">
        <x:v>0</x:v>
      </x:c>
      <x:c r="K13" s="16" t="n">
        <x:v>5</x:v>
      </x:c>
      <x:c r="L13" s="16" t="n">
        <x:v>0</x:v>
      </x:c>
      <x:c r="M13" s="16" t="n">
        <x:v>0</x:v>
      </x:c>
    </x:row>
    <x:row r="14" ht="70" customHeight="1">
      <x:c r="A14" s="15" t="str">
        <x:v>Extended magazine</x:v>
      </x:c>
      <x:c r="B14" s="15" t="str">
        <x:v>Magazine</x:v>
      </x:c>
      <x:c r="C14" s="15" t="n">
        <x:v>3</x:v>
      </x:c>
      <x:c r="D14" s="15" t="str">
        <x:v>Ballistics</x:v>
      </x:c>
      <x:c r="E14" s="19" t="str">
        <x:v>50% magazine capacity; 20% slower reloads. Never creates ammunition.</x:v>
      </x:c>
      <x:c r="F14" s="19" t="str">
        <x:v>Trail pistol, Industrial carbine, Experimental rifle, 9mm compact SMG, Battle rifle</x:v>
      </x:c>
      <x:c r="G14" s="15" t="n">
        <x:v>0</x:v>
      </x:c>
      <x:c r="H14" s="15" t="n">
        <x:v>0</x:v>
      </x:c>
      <x:c r="I14" s="15" t="n">
        <x:v>2</x:v>
      </x:c>
      <x:c r="J14" s="15" t="n">
        <x:v>0</x:v>
      </x:c>
      <x:c r="K14" s="15" t="n">
        <x:v>5</x:v>
      </x:c>
      <x:c r="L14" s="15" t="n">
        <x:v>0</x:v>
      </x:c>
      <x:c r="M14" s="15" t="n">
        <x:v>0</x:v>
      </x:c>
    </x:row>
    <x:row r="15" ht="70" customHeight="1">
      <x:c r="A15" s="16" t="str">
        <x:v>Fitted shoulder stock</x:v>
      </x:c>
      <x:c r="B15" s="16" t="str">
        <x:v>Stock</x:v>
      </x:c>
      <x:c r="C15" s="16" t="n">
        <x:v>2</x:v>
      </x:c>
      <x:c r="D15" s="16" t="str">
        <x:v>Ballistics</x:v>
      </x:c>
      <x:c r="E15" s="20" t="str">
        <x:v>15% less spread; 8% slower reloads.</x:v>
      </x:c>
      <x:c r="F15" s="20" t="str">
        <x:v>Trail rifle, Woodland rifle, Industrial carbine, Precision rifle, Experimental rifle, Scrap shotgun, 9mm compact SMG, Pump-action shotgun, Battle rifle</x:v>
      </x:c>
      <x:c r="G15" s="16" t="n">
        <x:v>0</x:v>
      </x:c>
      <x:c r="H15" s="16" t="n">
        <x:v>0</x:v>
      </x:c>
      <x:c r="I15" s="16" t="n">
        <x:v>2</x:v>
      </x:c>
      <x:c r="J15" s="16" t="n">
        <x:v>4</x:v>
      </x:c>
      <x:c r="K15" s="16" t="n">
        <x:v>0</x:v>
      </x:c>
      <x:c r="L15" s="16" t="n">
        <x:v>0</x:v>
      </x:c>
      <x:c r="M15" s="16" t="n">
        <x:v>0</x:v>
      </x:c>
    </x:row>
    <x:row r="16" ht="70" customHeight="1">
      <x:c r="A16" s="15" t="str">
        <x:v>High-tension bowstring</x:v>
      </x:c>
      <x:c r="B16" s="15" t="str">
        <x:v>String</x:v>
      </x:c>
      <x:c r="C16" s="15" t="n">
        <x:v>2</x:v>
      </x:c>
      <x:c r="D16" s="15" t="str">
        <x:v>Ranger</x:v>
      </x:c>
      <x:c r="E16" s="19" t="str">
        <x:v>20% faster arrows; 15% longer draw cycle.</x:v>
      </x:c>
      <x:c r="F16" s="19" t="str">
        <x:v>Woodland bow, Simple bow, Recurve bow, Crossbow, Compound bow</x:v>
      </x:c>
      <x:c r="G16" s="15" t="n">
        <x:v>0</x:v>
      </x:c>
      <x:c r="H16" s="15" t="n">
        <x:v>0</x:v>
      </x:c>
      <x:c r="I16" s="15" t="n">
        <x:v>2</x:v>
      </x:c>
      <x:c r="J16" s="15" t="n">
        <x:v>4</x:v>
      </x:c>
      <x:c r="K16" s="15" t="n">
        <x:v>0</x:v>
      </x:c>
      <x:c r="L16" s="15" t="n">
        <x:v>0</x:v>
      </x:c>
      <x:c r="M16" s="15" t="n">
        <x:v>0</x:v>
      </x:c>
    </x:row>
    <x:row r="17" ht="70" customHeight="1">
      <x:c r="A17" s="16" t="str">
        <x:v>Balanced bow limbs</x:v>
      </x:c>
      <x:c r="B17" s="16" t="str">
        <x:v>Limbs</x:v>
      </x:c>
      <x:c r="C17" s="16" t="n">
        <x:v>3</x:v>
      </x:c>
      <x:c r="D17" s="16" t="str">
        <x:v>Ranger</x:v>
      </x:c>
      <x:c r="E17" s="20" t="str">
        <x:v>15% shorter draw cycle; 8% less damage.</x:v>
      </x:c>
      <x:c r="F17" s="20" t="str">
        <x:v>Woodland bow, Simple bow, Recurve bow, Crossbow, Compound bow</x:v>
      </x:c>
      <x:c r="G17" s="16" t="n">
        <x:v>0</x:v>
      </x:c>
      <x:c r="H17" s="16" t="n">
        <x:v>0</x:v>
      </x:c>
      <x:c r="I17" s="16" t="n">
        <x:v>2</x:v>
      </x:c>
      <x:c r="J17" s="16" t="n">
        <x:v>0</x:v>
      </x:c>
      <x:c r="K17" s="16" t="n">
        <x:v>5</x:v>
      </x:c>
      <x:c r="L17" s="16" t="n">
        <x:v>0</x:v>
      </x:c>
      <x:c r="M17" s="16" t="n">
        <x:v>0</x:v>
      </x:c>
    </x:row>
    <x:row r="18" ht="70" customHeight="1">
      <x:c r="A18" s="15" t="str">
        <x:v>Hardened cutting chain</x:v>
      </x:c>
      <x:c r="B18" s="15" t="str">
        <x:v>Chain</x:v>
      </x:c>
      <x:c r="C18" s="15" t="n">
        <x:v>4</x:v>
      </x:c>
      <x:c r="D18" s="15" t="str">
        <x:v>Brawler</x:v>
      </x:c>
      <x:c r="E18" s="19" t="str">
        <x:v>18% damage; 20% more stamina per cutting burst.</x:v>
      </x:c>
      <x:c r="F18" s="19" t="str">
        <x:v>Chainsaw, Stormfire chain sword</x:v>
      </x:c>
      <x:c r="G18" s="15" t="n">
        <x:v>0</x:v>
      </x:c>
      <x:c r="H18" s="15" t="n">
        <x:v>0</x:v>
      </x:c>
      <x:c r="I18" s="15" t="n">
        <x:v>2</x:v>
      </x:c>
      <x:c r="J18" s="15" t="n">
        <x:v>0</x:v>
      </x:c>
      <x:c r="K18" s="15" t="n">
        <x:v>0</x:v>
      </x:c>
      <x:c r="L18" s="15" t="n">
        <x:v>6</x:v>
      </x:c>
      <x:c r="M18" s="15" t="n">
        <x:v>0</x:v>
      </x:c>
    </x:row>
    <x:row r="19" ht="70" customHeight="1">
      <x:c r="A19" s="16" t="str">
        <x:v>Stormfire cooling jacket</x:v>
      </x:c>
      <x:c r="B19" s="16" t="str">
        <x:v>Drive</x:v>
      </x:c>
      <x:c r="C19" s="16" t="n">
        <x:v>5</x:v>
      </x:c>
      <x:c r="D19" s="16" t="str">
        <x:v>Brawler</x:v>
      </x:c>
      <x:c r="E19" s="20" t="str">
        <x:v>15% faster cutting bursts; 15% more stamina. Requires the chain sword blueprint.</x:v>
      </x:c>
      <x:c r="F19" s="20" t="str">
        <x:v>Stormfire chain sword</x:v>
      </x:c>
      <x:c r="G19" s="16" t="n">
        <x:v>0</x:v>
      </x:c>
      <x:c r="H19" s="16" t="n">
        <x:v>0</x:v>
      </x:c>
      <x:c r="I19" s="16" t="n">
        <x:v>2</x:v>
      </x:c>
      <x:c r="J19" s="16" t="n">
        <x:v>0</x:v>
      </x:c>
      <x:c r="K19" s="16" t="n">
        <x:v>0</x:v>
      </x:c>
      <x:c r="L19" s="16" t="n">
        <x:v>0</x:v>
      </x:c>
      <x:c r="M19" s="16" t="n">
        <x:v>7</x:v>
      </x:c>
    </x:row>
    <x:row r="22">
      <x:c r="A22" s="22" t="str">
        <x:v>Materials listed are the crafting cost for one part; Research points equal its tier.</x:v>
      </x:c>
    </x:row>
    <x:row r="23">
      <x:c r="A23" s="22" t="str">
        <x:v>Part modifiers multiply together; quality improvements and Soulbound rolls are separate systems.</x:v>
      </x:c>
    </x:row>
    <x:row r="24">
      <x:c r="A24" s="22" t="str">
        <x:v>Source: game/Scripts/Logic/ExpeditionWeaponWorkshop.cs (WeaponPart.All, WorkshopRecipes, PartReason, FitPart).</x:v>
      </x:c>
    </x:row>
  </x:sheetData>
  <x:pageMargins left="0.7" right="0.7" top="0.75" bottom="0.75" header="0.3" footer="0.3"/>
  <x:tableParts count="1">
    <x:tablePart xmlns:r="http://schemas.openxmlformats.org/officeDocument/2006/relationships" r:id="R21fba740e0484df5"/>
  </x:tableParts>
</x:worksheet>
</file>

<file path=xl/worksheets/sheet4.xml><?xml version="1.0" encoding="utf-8"?>
<x:worksheet xmlns:x="http://schemas.openxmlformats.org/spreadsheetml/2006/main">
  <x:sheetPr>
    <x:tabColor rgb="FF26332C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2" hidden="0" customWidth="1"/>
    <x:col min="2" max="2" width="19" hidden="0" customWidth="1"/>
    <x:col min="3" max="3" width="15" hidden="0" customWidth="1"/>
    <x:col min="4" max="4" width="15" hidden="0" customWidth="1"/>
    <x:col min="5" max="5" width="29" hidden="0" customWidth="1"/>
    <x:col min="6" max="6" width="82" hidden="0" customWidth="1"/>
  </x:cols>
  <x:sheetData>
    <x:row r="1">
      <x:c r="A1" s="3"/>
      <x:c r="B1" s="3"/>
      <x:c r="C1" s="3"/>
      <x:c r="D1" s="3"/>
      <x:c r="E1" s="3"/>
      <x:c r="F1" s="3"/>
    </x:row>
    <x:row r="2">
      <x:c r="A2" s="5" t="str">
        <x:v>Soulbound weapon rolls and upgrades</x:v>
      </x:c>
      <x:c r="B2" s="3"/>
      <x:c r="C2" s="3"/>
      <x:c r="D2" s="3"/>
      <x:c r="E2" s="3"/>
      <x:c r="F2" s="3"/>
    </x:row>
    <x:row r="3">
      <x:c r="A3" s="6"/>
      <x:c r="B3" s="6"/>
      <x:c r="C3" s="6"/>
      <x:c r="D3" s="6"/>
      <x:c r="E3" s="6"/>
      <x:c r="F3" s="6"/>
    </x:row>
    <x:row r="4">
      <x:c r="A4" s="8" t="str">
        <x:v>Each stat rolls an integer percentage in the inclusive range below. Negative spread, reload time and recovery time are better.</x:v>
      </x:c>
      <x:c r="B4" s="3"/>
      <x:c r="C4" s="3"/>
      <x:c r="D4" s="3"/>
      <x:c r="E4" s="3"/>
      <x:c r="F4" s="3"/>
    </x:row>
    <x:row r="5">
      <x:c r="A5" s="3"/>
      <x:c r="B5" s="3"/>
      <x:c r="C5" s="3"/>
      <x:c r="D5" s="3"/>
      <x:c r="E5" s="3"/>
      <x:c r="F5" s="3"/>
    </x:row>
    <x:row r="6">
      <x:c r="A6" s="3"/>
      <x:c r="B6" s="3"/>
      <x:c r="C6" s="3"/>
      <x:c r="D6" s="3"/>
      <x:c r="E6" s="3"/>
      <x:c r="F6" s="3"/>
    </x:row>
    <x:row r="7" ht="36" customHeight="1">
      <x:c r="A7" s="14" t="str">
        <x:v>Archetype</x:v>
      </x:c>
      <x:c r="B7" s="14" t="str">
        <x:v>Rolled stat</x:v>
      </x:c>
      <x:c r="C7" s="14" t="str">
        <x:v>Minimum</x:v>
      </x:c>
      <x:c r="D7" s="14" t="str">
        <x:v>Maximum</x:v>
      </x:c>
      <x:c r="E7" s="14" t="str">
        <x:v>Gun meaning</x:v>
      </x:c>
      <x:c r="F7" s="14" t="str">
        <x:v>Bow / melee meaning</x:v>
      </x:c>
    </x:row>
    <x:row r="8" ht="36" customHeight="1">
      <x:c r="A8" s="15" t="str">
        <x:v>Ravager</x:v>
      </x:c>
      <x:c r="B8" s="15" t="str">
        <x:v>Damage</x:v>
      </x:c>
      <x:c r="C8" s="23" t="n">
        <x:v>0.65</x:v>
      </x:c>
      <x:c r="D8" s="23" t="n">
        <x:v>1</x:v>
      </x:c>
      <x:c r="E8" s="15" t="str">
        <x:v>All Soulbound weapons</x:v>
      </x:c>
      <x:c r="F8" s="19" t="str">
        <x:v>Weapon damage multiplier</x:v>
      </x:c>
    </x:row>
    <x:row r="9" ht="36" customHeight="1">
      <x:c r="A9" s="16" t="str">
        <x:v>Ravager</x:v>
      </x:c>
      <x:c r="B9" s="16" t="str">
        <x:v>Capacity</x:v>
      </x:c>
      <x:c r="C9" s="24" t="n">
        <x:v>-0.35</x:v>
      </x:c>
      <x:c r="D9" s="24" t="n">
        <x:v>0.2</x:v>
      </x:c>
      <x:c r="E9" s="16" t="str">
        <x:v>Guns: magazine</x:v>
      </x:c>
      <x:c r="F9" s="20" t="str">
        <x:v>Bow: half value to arrow speed; melee: half value to stamina efficiency</x:v>
      </x:c>
    </x:row>
    <x:row r="10" ht="36" customHeight="1">
      <x:c r="A10" s="15" t="str">
        <x:v>Ravager</x:v>
      </x:c>
      <x:c r="B10" s="15" t="str">
        <x:v>Accuracy</x:v>
      </x:c>
      <x:c r="C10" s="23" t="n">
        <x:v>-0.1</x:v>
      </x:c>
      <x:c r="D10" s="23" t="n">
        <x:v>0.45</x:v>
      </x:c>
      <x:c r="E10" s="15" t="str">
        <x:v>Guns: spread</x:v>
      </x:c>
      <x:c r="F10" s="19" t="str">
        <x:v>Bow/melee: half value to draw/attack recovery time</x:v>
      </x:c>
    </x:row>
    <x:row r="11" ht="36" customHeight="1">
      <x:c r="A11" s="16" t="str">
        <x:v>Ravager</x:v>
      </x:c>
      <x:c r="B11" s="16" t="str">
        <x:v>Reload</x:v>
      </x:c>
      <x:c r="C11" s="24" t="n">
        <x:v>0.05</x:v>
      </x:c>
      <x:c r="D11" s="24" t="n">
        <x:v>0.45</x:v>
      </x:c>
      <x:c r="E11" s="16" t="str">
        <x:v>Guns: reload time</x:v>
      </x:c>
      <x:c r="F11" s="20" t="str">
        <x:v>Bow/melee: weapon noise</x:v>
      </x:c>
    </x:row>
    <x:row r="12" ht="36" customHeight="1">
      <x:c r="A12" s="15" t="str">
        <x:v>Watcher</x:v>
      </x:c>
      <x:c r="B12" s="15" t="str">
        <x:v>Damage</x:v>
      </x:c>
      <x:c r="C12" s="23" t="n">
        <x:v>0.15</x:v>
      </x:c>
      <x:c r="D12" s="23" t="n">
        <x:v>0.45</x:v>
      </x:c>
      <x:c r="E12" s="15" t="str">
        <x:v>All Soulbound weapons</x:v>
      </x:c>
      <x:c r="F12" s="19" t="str">
        <x:v>Weapon damage multiplier</x:v>
      </x:c>
    </x:row>
    <x:row r="13" ht="36" customHeight="1">
      <x:c r="A13" s="16" t="str">
        <x:v>Watcher</x:v>
      </x:c>
      <x:c r="B13" s="16" t="str">
        <x:v>Capacity</x:v>
      </x:c>
      <x:c r="C13" s="24" t="n">
        <x:v>-0.35</x:v>
      </x:c>
      <x:c r="D13" s="24" t="n">
        <x:v>0.2</x:v>
      </x:c>
      <x:c r="E13" s="16" t="str">
        <x:v>Guns: magazine</x:v>
      </x:c>
      <x:c r="F13" s="20" t="str">
        <x:v>Bow: half value to arrow speed; melee: half value to stamina efficiency</x:v>
      </x:c>
    </x:row>
    <x:row r="14" ht="36" customHeight="1">
      <x:c r="A14" s="15" t="str">
        <x:v>Watcher</x:v>
      </x:c>
      <x:c r="B14" s="15" t="str">
        <x:v>Accuracy</x:v>
      </x:c>
      <x:c r="C14" s="23" t="n">
        <x:v>-0.6</x:v>
      </x:c>
      <x:c r="D14" s="23" t="n">
        <x:v>-0.35</x:v>
      </x:c>
      <x:c r="E14" s="15" t="str">
        <x:v>Guns: spread</x:v>
      </x:c>
      <x:c r="F14" s="19" t="str">
        <x:v>Bow/melee: half value to draw/attack recovery time</x:v>
      </x:c>
    </x:row>
    <x:row r="15" ht="36" customHeight="1">
      <x:c r="A15" s="16" t="str">
        <x:v>Watcher</x:v>
      </x:c>
      <x:c r="B15" s="16" t="str">
        <x:v>Reload</x:v>
      </x:c>
      <x:c r="C15" s="24" t="n">
        <x:v>0.05</x:v>
      </x:c>
      <x:c r="D15" s="24" t="n">
        <x:v>0.45</x:v>
      </x:c>
      <x:c r="E15" s="16" t="str">
        <x:v>Guns: reload time</x:v>
      </x:c>
      <x:c r="F15" s="20" t="str">
        <x:v>Bow/melee: weapon noise</x:v>
      </x:c>
    </x:row>
    <x:row r="16" ht="36" customHeight="1">
      <x:c r="A16" s="15" t="str">
        <x:v>Outrider</x:v>
      </x:c>
      <x:c r="B16" s="15" t="str">
        <x:v>Damage</x:v>
      </x:c>
      <x:c r="C16" s="23" t="n">
        <x:v>0.15</x:v>
      </x:c>
      <x:c r="D16" s="23" t="n">
        <x:v>0.45</x:v>
      </x:c>
      <x:c r="E16" s="15" t="str">
        <x:v>All Soulbound weapons</x:v>
      </x:c>
      <x:c r="F16" s="19" t="str">
        <x:v>Weapon damage multiplier</x:v>
      </x:c>
    </x:row>
    <x:row r="17" ht="36" customHeight="1">
      <x:c r="A17" s="16" t="str">
        <x:v>Outrider</x:v>
      </x:c>
      <x:c r="B17" s="16" t="str">
        <x:v>Capacity</x:v>
      </x:c>
      <x:c r="C17" s="24" t="n">
        <x:v>0.45</x:v>
      </x:c>
      <x:c r="D17" s="24" t="n">
        <x:v>1</x:v>
      </x:c>
      <x:c r="E17" s="16" t="str">
        <x:v>Guns: magazine</x:v>
      </x:c>
      <x:c r="F17" s="20" t="str">
        <x:v>Bow: half value to arrow speed; melee: half value to stamina efficiency</x:v>
      </x:c>
    </x:row>
    <x:row r="18" ht="36" customHeight="1">
      <x:c r="A18" s="15" t="str">
        <x:v>Outrider</x:v>
      </x:c>
      <x:c r="B18" s="15" t="str">
        <x:v>Accuracy</x:v>
      </x:c>
      <x:c r="C18" s="23" t="n">
        <x:v>-0.1</x:v>
      </x:c>
      <x:c r="D18" s="23" t="n">
        <x:v>0.45</x:v>
      </x:c>
      <x:c r="E18" s="15" t="str">
        <x:v>Guns: spread</x:v>
      </x:c>
      <x:c r="F18" s="19" t="str">
        <x:v>Bow/melee: half value to draw/attack recovery time</x:v>
      </x:c>
    </x:row>
    <x:row r="19" ht="36" customHeight="1">
      <x:c r="A19" s="16" t="str">
        <x:v>Outrider</x:v>
      </x:c>
      <x:c r="B19" s="16" t="str">
        <x:v>Reload</x:v>
      </x:c>
      <x:c r="C19" s="24" t="n">
        <x:v>-0.45</x:v>
      </x:c>
      <x:c r="D19" s="24" t="n">
        <x:v>-0.2</x:v>
      </x:c>
      <x:c r="E19" s="16" t="str">
        <x:v>Guns: reload time</x:v>
      </x:c>
      <x:c r="F19" s="20" t="str">
        <x:v>Bow/melee: weapon noise</x:v>
      </x:c>
    </x:row>
    <x:row r="22">
      <x:c r="A22" s="22" t="str">
        <x:v>Iron Mourner weapon pool: Trail rifle, Woodland rifle, Industrial carbine, Precision rifle, Experimental rifle, Scrap shotgun, Crossbow, Iron spear, Sledgehammer, Alloy longsword, Stormfire chain sword, Hunting knife.</x:v>
      </x:c>
    </x:row>
    <x:row r="23">
      <x:c r="A23" s="22" t="str">
        <x:v>Broodheart first-completion Soulbound pool: Trail rifle, Woodland rifle, Industrial carbine, Precision rifle, Experimental rifle, Scrap shotgun.</x:v>
      </x:c>
    </x:row>
    <x:row r="24">
      <x:c r="A24" s="22" t="str">
        <x:v>Iron Mourner also grants 1 weapon upgrade, with a 20% chance of a second. Individual upgrades roll 15–30% power.</x:v>
      </x:c>
    </x:row>
    <x:row r="25">
      <x:c r="A25" s="22" t="str">
        <x:v>Upgrade kinds: Penetrator core (armor), Gyro stabilizer (recoil), Quickdraw limbs (bow draw), Efficient drive (fuel saving), Balanced grip (melee stamina). One active at a time.</x:v>
      </x:c>
    </x:row>
    <x:row r="26">
      <x:c r="A26" s="22" t="str">
        <x:v>New boss items are tradable only within the original kill group. Trade from Soulbound armory within 6m; recipient accepts. Old items remain bound.</x:v>
      </x:c>
    </x:row>
    <x:row r="27">
      <x:c r="A27" s="22" t="str">
        <x:v>Quality upgrades set a quality floor, rather than adding to each other: barrel lapping 10%, action bedding 15%, precision calibration 20%, Foreman tempering 20%, nocturnal tuning 25%, legendary ascension 50%.</x:v>
      </x:c>
    </x:row>
    <x:row r="28">
      <x:c r="A28" s="22" t="str">
        <x:v>Legendary ascension: workshop 5, 1 heart, 6 alloy, 6 electronics, 8 bioalloy. Maximum-tier eligibility is T4 for bows/sledgehammer and T5 for other classes.</x:v>
      </x:c>
    </x:row>
    <x:row r="29">
      <x:c r="A29" s="22" t="str">
        <x:v>Stormfire Q: 20 stamina + 8 fuel + 4 cells; 10s cooldown; 1.4s flame burst with 5.5m reach. Electric contact is additional to listed weapon damage.</x:v>
      </x:c>
    </x:row>
    <x:row r="30">
      <x:c r="A30" s="22" t="str">
        <x:v>Sources: game/Scripts/Logic/ExpeditionSoulbound.cs; ExpeditionMegaLoot.cs; ExpeditionCampaign.cs; ExpeditionCraftingRules.cs; ExpeditionBossTrading.cs; game/Scripts/ExpeditionChainSword.cs.</x:v>
      </x:c>
    </x:row>
  </x:sheetData>
  <x:pageMargins left="0.7" right="0.7" top="0.75" bottom="0.75" header="0.3" footer="0.3"/>
  <x:tableParts count="1">
    <x:tablePart xmlns:r="http://schemas.openxmlformats.org/officeDocument/2006/relationships" r:id="Ra08aadd608d14837"/>
  </x:tableParts>
</x:worksheet>
</file>

<file path=xl/worksheets/sheet5.xml><?xml version="1.0" encoding="utf-8"?>
<x:worksheet xmlns:x="http://schemas.openxmlformats.org/spreadsheetml/2006/main">
  <x:sheetPr>
    <x:tabColor rgb="FF26332C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9" hidden="0" customWidth="1"/>
    <x:col min="2" max="2" width="43" hidden="0" customWidth="1"/>
    <x:col min="3" max="3" width="12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57" hidden="0" customWidth="1"/>
    <x:col min="9" max="9" width="5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>
      <x:c r="A2" s="5" t="str">
        <x:v>Utility and harvesting tools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4">
      <x:c r="A4" s="8" t="str">
        <x:v>These tools are separate from the 34 selectable combat weapons. Hunting knife (combat ID 23) is distinct from the skinning knife.</x:v>
      </x:c>
      <x:c r="B4" s="3"/>
      <x:c r="C4" s="3"/>
      <x:c r="D4" s="3"/>
      <x:c r="E4" s="3"/>
      <x:c r="F4" s="3"/>
      <x:c r="G4" s="3"/>
      <x:c r="H4" s="3"/>
      <x:c r="I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</x:row>
    <x:row r="7" ht="36" customHeight="1">
      <x:c r="A7" s="14" t="str">
        <x:v>Tool</x:v>
      </x:c>
      <x:c r="B7" s="14" t="str">
        <x:v>Purpose</x:v>
      </x:c>
      <x:c r="C7" s="14" t="str">
        <x:v>Tier</x:v>
      </x:c>
      <x:c r="D7" s="14" t="str">
        <x:v>Workshop</x:v>
      </x:c>
      <x:c r="E7" s="14" t="str">
        <x:v>Timber</x:v>
      </x:c>
      <x:c r="F7" s="14" t="str">
        <x:v>Stone</x:v>
      </x:c>
      <x:c r="G7" s="14" t="str">
        <x:v>Fiber</x:v>
      </x:c>
      <x:c r="H7" s="14" t="str">
        <x:v>Benefit</x:v>
      </x:c>
      <x:c r="I7" s="14" t="str">
        <x:v>Trade-off / use</x:v>
      </x:c>
    </x:row>
    <x:row r="8" ht="42" customHeight="1">
      <x:c r="A8" s="15" t="str">
        <x:v>Stone chopping axe</x:v>
      </x:c>
      <x:c r="B8" s="15" t="str">
        <x:v>Chop trees</x:v>
      </x:c>
      <x:c r="C8" s="15" t="n">
        <x:v>1</x:v>
      </x:c>
      <x:c r="D8" s="15" t="n">
        <x:v>0</x:v>
      </x:c>
      <x:c r="E8" s="15" t="n">
        <x:v>2</x:v>
      </x:c>
      <x:c r="F8" s="15" t="n">
        <x:v>3</x:v>
      </x:c>
      <x:c r="G8" s="15" t="n">
        <x:v>2</x:v>
      </x:c>
      <x:c r="H8" s="19" t="str">
        <x:v>Timed physical chopping swings</x:v>
      </x:c>
      <x:c r="I8" s="19" t="str">
        <x:v>T to equip; aim at trunk and swing</x:v>
      </x:c>
    </x:row>
    <x:row r="9" ht="42" customHeight="1">
      <x:c r="A9" s="16" t="str">
        <x:v>Flint skinning knife</x:v>
      </x:c>
      <x:c r="B9" s="16" t="str">
        <x:v>Harvest healthy animal carcasses</x:v>
      </x:c>
      <x:c r="C9" s="16" t="n">
        <x:v>1</x:v>
      </x:c>
      <x:c r="D9" s="16" t="n">
        <x:v>0</x:v>
      </x:c>
      <x:c r="E9" s="16" t="n">
        <x:v>1</x:v>
      </x:c>
      <x:c r="F9" s="16" t="n">
        <x:v>3</x:v>
      </x:c>
      <x:c r="G9" s="16" t="n">
        <x:v>2</x:v>
      </x:c>
      <x:c r="H9" s="20" t="str">
        <x:v>200% hides and fur; hides tan into leather</x:v>
      </x:c>
      <x:c r="I9" s="20" t="str">
        <x:v>50% meat and bone; 100% sinew</x:v>
      </x:c>
    </x:row>
    <x:row r="10" ht="42" customHeight="1">
      <x:c r="A10" s="15" t="str">
        <x:v>Stone butcher cleaver</x:v>
      </x:c>
      <x:c r="B10" s="15" t="str">
        <x:v>Harvest healthy animal carcasses</x:v>
      </x:c>
      <x:c r="C10" s="15" t="n">
        <x:v>1</x:v>
      </x:c>
      <x:c r="D10" s="15" t="n">
        <x:v>0</x:v>
      </x:c>
      <x:c r="E10" s="15" t="n">
        <x:v>2</x:v>
      </x:c>
      <x:c r="F10" s="15" t="n">
        <x:v>3</x:v>
      </x:c>
      <x:c r="G10" s="15" t="n">
        <x:v>2</x:v>
      </x:c>
      <x:c r="H10" s="19" t="str">
        <x:v>200% meat and bone</x:v>
      </x:c>
      <x:c r="I10" s="19" t="str">
        <x:v>50% hides and fur; 100% sinew</x:v>
      </x:c>
    </x:row>
    <x:row r="13">
      <x:c r="A13" s="22" t="str">
        <x:v>Choose a harvesting tool in K &gt; Hunting before pressing F beside the carcass. Harvesting takes 3 seconds.</x:v>
      </x:c>
    </x:row>
    <x:row r="14">
      <x:c r="A14" s="22" t="str">
        <x:v>One tool applies to the whole carcass. Half units accumulate across hunts; changing tool mid-harvest cannot combine both bonuses.</x:v>
      </x:c>
    </x:row>
    <x:row r="15">
      <x:c r="A15" s="22" t="str">
        <x:v>Shovel/earthwork and builder hammer also exist as contextual utilities; they have no standalone combat weapon entry or weapon damage stats.</x:v>
      </x:c>
    </x:row>
    <x:row r="16">
      <x:c r="A16" s="22" t="str">
        <x:v>Sources: game/Scripts/Logic/ExpeditionWeaponProgression.cs (axe recipe); ExpeditionHunting.cs (tool recipes and exact yield ratios).</x:v>
      </x:c>
    </x:row>
  </x:sheetData>
  <x:pageMargins left="0.7" right="0.7" top="0.75" bottom="0.75" header="0.3" footer="0.3"/>
  <x:tableParts count="1">
    <x:tablePart xmlns:r="http://schemas.openxmlformats.org/officeDocument/2006/relationships" r:id="Rb1939a9221754e79"/>
  </x:tableParts>
</x:worksheet>
</file>