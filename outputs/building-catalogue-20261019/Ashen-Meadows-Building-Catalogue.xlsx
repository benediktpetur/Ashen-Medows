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219e739dd40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ings" sheetId="1" r:id="Rb46cf3dd9ff14d10"/>
    <x:sheet xmlns:r="http://schemas.openxmlformats.org/officeDocument/2006/relationships" name="Materials and research" sheetId="2" r:id="R4607375c3c0a4c2e"/>
    <x:sheet xmlns:r="http://schemas.openxmlformats.org/officeDocument/2006/relationships" name="Workshop and rules" sheetId="3" r:id="R4a0fb1e7055c4b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11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6332C"/>
      <x:name val="Arial"/>
    </x:font>
    <x:font>
      <x:sz val="16"/>
      <x:color rgb="FF26332C"/>
      <x:name val="Arial"/>
    </x:font>
    <x:font>
      <x:b/>
      <x:sz val="16"/>
      <x:color rgb="FF26332C"/>
      <x:name val="Arial"/>
    </x:font>
    <x:font>
      <x:i/>
      <x:sz val="10"/>
      <x:color rgb="FF26332C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59665E"/>
      <x:name val="Arial"/>
    </x:font>
    <x:font>
      <x:b/>
      <x:sz val="10"/>
      <x:color rgb="FF26332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32C"/>
      </x:patternFill>
    </x:fill>
    <x:fill>
      <x:patternFill patternType="solid">
        <x:fgColor rgb="FFF2F5F1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59A60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6" fillId="0" borderId="0" xfId="0" applyNumberFormat="1" applyFont="1" applyFill="1" applyBorder="1"/>
    <x:xf numFmtId="0" fontId="3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10" fillId="3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3ca28b33d411a" /><Relationship Type="http://schemas.openxmlformats.org/officeDocument/2006/relationships/theme" Target="/xl/theme/theme1.xml" Id="Rb8d7b70775ff4ea7" /><Relationship Type="http://schemas.openxmlformats.org/officeDocument/2006/relationships/sharedStrings" Target="/xl/sharedStrings.xml" Id="R1f6b6e42501340aa" /><Relationship Type="http://schemas.openxmlformats.org/officeDocument/2006/relationships/worksheet" Target="/xl/worksheets/sheet1.xml" Id="Rb46cf3dd9ff14d10" /><Relationship Type="http://schemas.openxmlformats.org/officeDocument/2006/relationships/worksheet" Target="/xl/worksheets/sheet2.xml" Id="R4607375c3c0a4c2e" /><Relationship Type="http://schemas.openxmlformats.org/officeDocument/2006/relationships/worksheet" Target="/xl/worksheets/sheet3.xml" Id="R4a0fb1e7055c4b3e" /></Relationships>
</file>

<file path=xl/tables/table1.xml><?xml version="1.0" encoding="utf-8"?>
<x:table xmlns:x="http://schemas.openxmlformats.org/spreadsheetml/2006/main" id="1" name="BuildingsTable" displayName="BuildingsTable" ref="A7:O112" headerRowCount="1" totalsRowCount="0" totalsRowShown="0">
  <x:autoFilter ref="A7:O112"/>
  <x:tableColumns count="15">
    <x:tableColumn id="1" name="ID"/>
    <x:tableColumn id="2" name="Building / piece"/>
    <x:tableColumn id="3" name="Category"/>
    <x:tableColumn id="4" name="Tier"/>
    <x:tableColumn id="5" name="Function"/>
    <x:tableColumn id="6" name="Width (m)"/>
    <x:tableColumn id="7" name="Height (m)"/>
    <x:tableColumn id="8" name="Depth (m)"/>
    <x:tableColumn id="9" name="Condition"/>
    <x:tableColumn id="10" name="Own weight"/>
    <x:tableColumn id="11" name="Load capacity"/>
    <x:tableColumn id="12" name="Capacity less own weight"/>
    <x:tableColumn id="13" name="Ground anchor eligible"/>
    <x:tableColumn id="14" name="Opening type"/>
    <x:tableColumn id="15" name="Function and opera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BuildingCostsTable" displayName="BuildingCostsTable" ref="A8:P113" headerRowCount="1" totalsRowCount="0" totalsRowShown="0">
  <x:autoFilter ref="A8:P113"/>
  <x:tableColumns count="16">
    <x:tableColumn id="1" name="ID"/>
    <x:tableColumn id="2" name="Building / piece"/>
    <x:tableColumn id="3" name="Tier"/>
    <x:tableColumn id="4" name="Planned quantity"/>
    <x:tableColumn id="5" name="Workshop"/>
    <x:tableColumn id="6" name="Listed research points"/>
    <x:tableColumn id="7" name="Research family"/>
    <x:tableColumn id="8" name="Timber"/>
    <x:tableColumn id="9" name="Stone"/>
    <x:tableColumn id="10" name="Fiber"/>
    <x:tableColumn id="11" name="Forest resin"/>
    <x:tableColumn id="12" name="Alloy scrap"/>
    <x:tableColumn id="13" name="Electronics"/>
    <x:tableColumn id="14" name="Bioalloy"/>
    <x:tableColumn id="15" name="Prerequisite blueprint"/>
    <x:tableColumn id="16" name="Unlock rout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WorkshopUpgradesTable" displayName="WorkshopUpgradesTable" ref="A7:J12" headerRowCount="1" totalsRowCount="0" totalsRowShown="0">
  <x:autoFilter ref="A7:J12"/>
  <x:tableColumns count="10">
    <x:tableColumn id="1" name="Upgrade"/>
    <x:tableColumn id="2" name="Unlocks workshop tier"/>
    <x:tableColumn id="3" name="Existing workshop"/>
    <x:tableColumn id="4" name="Timber"/>
    <x:tableColumn id="5" name="Stone"/>
    <x:tableColumn id="6" name="Fiber"/>
    <x:tableColumn id="7" name="Forest resin"/>
    <x:tableColumn id="8" name="Alloy scrap"/>
    <x:tableColumn id="9" name="Electronics"/>
    <x:tableColumn id="10" name="Bioalloy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f797d97f0742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edb6090cfc49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338f8ffd864486" /></Relationships>
</file>

<file path=xl/worksheets/sheet1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34" hidden="0" customWidth="1"/>
    <x:col min="3" max="3" width="16" hidden="0" customWidth="1"/>
    <x:col min="4" max="4" width="8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7" hidden="0" customWidth="1"/>
    <x:col min="12" max="12" width="23" hidden="0" customWidth="1"/>
    <x:col min="13" max="13" width="22" hidden="0" customWidth="1"/>
    <x:col min="14" max="14" width="19" hidden="0" customWidth="1"/>
    <x:col min="15" max="15" width="8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5" t="str">
        <x:v>Ashen Meadows building catalogue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>
      <x:c r="A4" s="7" t="str">
        <x:v>105 buildable pieces in the current game, as of 19 October 2026. Dimensions are metres; weight and capacity are abstract load units.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ht="36" customHeight="1">
      <x:c r="A7" s="13" t="str">
        <x:v>ID</x:v>
      </x:c>
      <x:c r="B7" s="13" t="str">
        <x:v>Building / piece</x:v>
      </x:c>
      <x:c r="C7" s="13" t="str">
        <x:v>Category</x:v>
      </x:c>
      <x:c r="D7" s="13" t="str">
        <x:v>Tier</x:v>
      </x:c>
      <x:c r="E7" s="13" t="str">
        <x:v>Function</x:v>
      </x:c>
      <x:c r="F7" s="13" t="str">
        <x:v>Width (m)</x:v>
      </x:c>
      <x:c r="G7" s="13" t="str">
        <x:v>Height (m)</x:v>
      </x:c>
      <x:c r="H7" s="13" t="str">
        <x:v>Depth (m)</x:v>
      </x:c>
      <x:c r="I7" s="13" t="str">
        <x:v>Condition</x:v>
      </x:c>
      <x:c r="J7" s="13" t="str">
        <x:v>Own weight</x:v>
      </x:c>
      <x:c r="K7" s="13" t="str">
        <x:v>Load capacity</x:v>
      </x:c>
      <x:c r="L7" s="13" t="str">
        <x:v>Capacity less own weight</x:v>
      </x:c>
      <x:c r="M7" s="13" t="str">
        <x:v>Ground anchor eligible</x:v>
      </x:c>
      <x:c r="N7" s="13" t="str">
        <x:v>Opening type</x:v>
      </x:c>
      <x:c r="O7" s="13" t="str">
        <x:v>Function and operation</x:v>
      </x:c>
    </x:row>
    <x:row r="8" ht="46" customHeight="1">
      <x:c r="A8" s="15" t="n">
        <x:v>0</x:v>
      </x:c>
      <x:c r="B8" s="15" t="str">
        <x:v>Foundation</x:v>
      </x:c>
      <x:c r="C8" s="15" t="str">
        <x:v>Buildings</x:v>
      </x:c>
      <x:c r="D8" s="15" t="n">
        <x:v>1</x:v>
      </x:c>
      <x:c r="E8" s="15" t="str">
        <x:v>structure</x:v>
      </x:c>
      <x:c r="F8" s="16" t="n">
        <x:v>3</x:v>
      </x:c>
      <x:c r="G8" s="16" t="n">
        <x:v>0.5</x:v>
      </x:c>
      <x:c r="H8" s="16" t="n">
        <x:v>3</x:v>
      </x:c>
      <x:c r="I8" s="15" t="n">
        <x:v>100</x:v>
      </x:c>
      <x:c r="J8" s="16" t="n">
        <x:v>35</x:v>
      </x:c>
      <x:c r="K8" s="16" t="n">
        <x:v>600</x:v>
      </x:c>
      <x:c r="L8" s="16" t="n">
        <x:f>K8-J8</x:f>
        <x:v>565</x:v>
      </x:c>
      <x:c r="M8" s="15" t="str">
        <x:v>Yes</x:v>
      </x:c>
      <x:c r="N8" s="15" t="str">
        <x:v>None</x:v>
      </x:c>
      <x:c r="O8" s="18" t="str">
        <x:v>Structural piece; loads follow the support chain.</x:v>
      </x:c>
    </x:row>
    <x:row r="9" ht="46" customHeight="1">
      <x:c r="A9" s="14" t="n">
        <x:v>1</x:v>
      </x:c>
      <x:c r="B9" s="14" t="str">
        <x:v>Floor</x:v>
      </x:c>
      <x:c r="C9" s="14" t="str">
        <x:v>Buildings</x:v>
      </x:c>
      <x:c r="D9" s="14" t="n">
        <x:v>1</x:v>
      </x:c>
      <x:c r="E9" s="14" t="str">
        <x:v>structure</x:v>
      </x:c>
      <x:c r="F9" s="17" t="n">
        <x:v>3</x:v>
      </x:c>
      <x:c r="G9" s="17" t="n">
        <x:v>0.2</x:v>
      </x:c>
      <x:c r="H9" s="17" t="n">
        <x:v>3</x:v>
      </x:c>
      <x:c r="I9" s="14" t="n">
        <x:v>100</x:v>
      </x:c>
      <x:c r="J9" s="17" t="n">
        <x:v>12</x:v>
      </x:c>
      <x:c r="K9" s="17" t="n">
        <x:v>110</x:v>
      </x:c>
      <x:c r="L9" s="17" t="n">
        <x:f>K9-J9</x:f>
        <x:v>98</x:v>
      </x:c>
      <x:c r="M9" s="14" t="str">
        <x:v>No</x:v>
      </x:c>
      <x:c r="N9" s="14" t="str">
        <x:v>None</x:v>
      </x:c>
      <x:c r="O9" s="19" t="str">
        <x:v>Structural piece; loads follow the support chain.</x:v>
      </x:c>
    </x:row>
    <x:row r="10" ht="46" customHeight="1">
      <x:c r="A10" s="15" t="n">
        <x:v>2</x:v>
      </x:c>
      <x:c r="B10" s="15" t="str">
        <x:v>Wall</x:v>
      </x:c>
      <x:c r="C10" s="15" t="str">
        <x:v>Buildings</x:v>
      </x:c>
      <x:c r="D10" s="15" t="n">
        <x:v>1</x:v>
      </x:c>
      <x:c r="E10" s="15" t="str">
        <x:v>structure</x:v>
      </x:c>
      <x:c r="F10" s="16" t="n">
        <x:v>3</x:v>
      </x:c>
      <x:c r="G10" s="16" t="n">
        <x:v>2.5</x:v>
      </x:c>
      <x:c r="H10" s="16" t="n">
        <x:v>0.2</x:v>
      </x:c>
      <x:c r="I10" s="15" t="n">
        <x:v>100</x:v>
      </x:c>
      <x:c r="J10" s="16" t="n">
        <x:v>18</x:v>
      </x:c>
      <x:c r="K10" s="16" t="n">
        <x:v>220</x:v>
      </x:c>
      <x:c r="L10" s="16" t="n">
        <x:f>K10-J10</x:f>
        <x:v>202</x:v>
      </x:c>
      <x:c r="M10" s="15" t="str">
        <x:v>Yes</x:v>
      </x:c>
      <x:c r="N10" s="15" t="str">
        <x:v>None</x:v>
      </x:c>
      <x:c r="O10" s="18" t="str">
        <x:v>Structural piece; loads follow the support chain.</x:v>
      </x:c>
    </x:row>
    <x:row r="11" ht="46" customHeight="1">
      <x:c r="A11" s="14" t="n">
        <x:v>3</x:v>
      </x:c>
      <x:c r="B11" s="14" t="str">
        <x:v>Half wall</x:v>
      </x:c>
      <x:c r="C11" s="14" t="str">
        <x:v>Buildings</x:v>
      </x:c>
      <x:c r="D11" s="14" t="n">
        <x:v>1</x:v>
      </x:c>
      <x:c r="E11" s="14" t="str">
        <x:v>structure</x:v>
      </x:c>
      <x:c r="F11" s="17" t="n">
        <x:v>3</x:v>
      </x:c>
      <x:c r="G11" s="17" t="n">
        <x:v>1.25</x:v>
      </x:c>
      <x:c r="H11" s="17" t="n">
        <x:v>0.2</x:v>
      </x:c>
      <x:c r="I11" s="14" t="n">
        <x:v>100</x:v>
      </x:c>
      <x:c r="J11" s="17" t="n">
        <x:v>10</x:v>
      </x:c>
      <x:c r="K11" s="17" t="n">
        <x:v>150</x:v>
      </x:c>
      <x:c r="L11" s="17" t="n">
        <x:f>K11-J11</x:f>
        <x:v>140</x:v>
      </x:c>
      <x:c r="M11" s="14" t="str">
        <x:v>Yes</x:v>
      </x:c>
      <x:c r="N11" s="14" t="str">
        <x:v>None</x:v>
      </x:c>
      <x:c r="O11" s="19" t="str">
        <x:v>Structural piece; loads follow the support chain.</x:v>
      </x:c>
    </x:row>
    <x:row r="12" ht="46" customHeight="1">
      <x:c r="A12" s="15" t="n">
        <x:v>4</x:v>
      </x:c>
      <x:c r="B12" s="15" t="str">
        <x:v>Pillar</x:v>
      </x:c>
      <x:c r="C12" s="15" t="str">
        <x:v>Buildings</x:v>
      </x:c>
      <x:c r="D12" s="15" t="n">
        <x:v>1</x:v>
      </x:c>
      <x:c r="E12" s="15" t="str">
        <x:v>structure</x:v>
      </x:c>
      <x:c r="F12" s="16" t="n">
        <x:v>0.3</x:v>
      </x:c>
      <x:c r="G12" s="16" t="n">
        <x:v>2.5</x:v>
      </x:c>
      <x:c r="H12" s="16" t="n">
        <x:v>0.3</x:v>
      </x:c>
      <x:c r="I12" s="15" t="n">
        <x:v>100</x:v>
      </x:c>
      <x:c r="J12" s="16" t="n">
        <x:v>8</x:v>
      </x:c>
      <x:c r="K12" s="16" t="n">
        <x:v>260</x:v>
      </x:c>
      <x:c r="L12" s="16" t="n">
        <x:f>K12-J12</x:f>
        <x:v>252</x:v>
      </x:c>
      <x:c r="M12" s="15" t="str">
        <x:v>Yes</x:v>
      </x:c>
      <x:c r="N12" s="15" t="str">
        <x:v>None</x:v>
      </x:c>
      <x:c r="O12" s="18" t="str">
        <x:v>Structural piece; loads follow the support chain.</x:v>
      </x:c>
    </x:row>
    <x:row r="13" ht="46" customHeight="1">
      <x:c r="A13" s="14" t="n">
        <x:v>5</x:v>
      </x:c>
      <x:c r="B13" s="14" t="str">
        <x:v>Beam</x:v>
      </x:c>
      <x:c r="C13" s="14" t="str">
        <x:v>Buildings</x:v>
      </x:c>
      <x:c r="D13" s="14" t="n">
        <x:v>1</x:v>
      </x:c>
      <x:c r="E13" s="14" t="str">
        <x:v>structure</x:v>
      </x:c>
      <x:c r="F13" s="17" t="n">
        <x:v>3</x:v>
      </x:c>
      <x:c r="G13" s="17" t="n">
        <x:v>0.3</x:v>
      </x:c>
      <x:c r="H13" s="17" t="n">
        <x:v>0.3</x:v>
      </x:c>
      <x:c r="I13" s="14" t="n">
        <x:v>100</x:v>
      </x:c>
      <x:c r="J13" s="17" t="n">
        <x:v>7</x:v>
      </x:c>
      <x:c r="K13" s="17" t="n">
        <x:v>160</x:v>
      </x:c>
      <x:c r="L13" s="17" t="n">
        <x:f>K13-J13</x:f>
        <x:v>153</x:v>
      </x:c>
      <x:c r="M13" s="14" t="str">
        <x:v>No</x:v>
      </x:c>
      <x:c r="N13" s="14" t="str">
        <x:v>None</x:v>
      </x:c>
      <x:c r="O13" s="19" t="str">
        <x:v>Structural piece; loads follow the support chain.</x:v>
      </x:c>
    </x:row>
    <x:row r="14" ht="46" customHeight="1">
      <x:c r="A14" s="15" t="n">
        <x:v>6</x:v>
      </x:c>
      <x:c r="B14" s="15" t="str">
        <x:v>Stairs</x:v>
      </x:c>
      <x:c r="C14" s="15" t="str">
        <x:v>Buildings</x:v>
      </x:c>
      <x:c r="D14" s="15" t="n">
        <x:v>1</x:v>
      </x:c>
      <x:c r="E14" s="15" t="str">
        <x:v>structure</x:v>
      </x:c>
      <x:c r="F14" s="16" t="n">
        <x:v>3</x:v>
      </x:c>
      <x:c r="G14" s="16" t="n">
        <x:v>2.5</x:v>
      </x:c>
      <x:c r="H14" s="16" t="n">
        <x:v>3</x:v>
      </x:c>
      <x:c r="I14" s="15" t="n">
        <x:v>100</x:v>
      </x:c>
      <x:c r="J14" s="16" t="n">
        <x:v>24</x:v>
      </x:c>
      <x:c r="K14" s="16" t="n">
        <x:v>130</x:v>
      </x:c>
      <x:c r="L14" s="16" t="n">
        <x:f>K14-J14</x:f>
        <x:v>106</x:v>
      </x:c>
      <x:c r="M14" s="15" t="str">
        <x:v>No</x:v>
      </x:c>
      <x:c r="N14" s="15" t="str">
        <x:v>None</x:v>
      </x:c>
      <x:c r="O14" s="18" t="str">
        <x:v>Structural piece; loads follow the support chain.</x:v>
      </x:c>
    </x:row>
    <x:row r="15" ht="46" customHeight="1">
      <x:c r="A15" s="14" t="n">
        <x:v>7</x:v>
      </x:c>
      <x:c r="B15" s="14" t="str">
        <x:v>Roof</x:v>
      </x:c>
      <x:c r="C15" s="14" t="str">
        <x:v>Buildings</x:v>
      </x:c>
      <x:c r="D15" s="14" t="n">
        <x:v>1</x:v>
      </x:c>
      <x:c r="E15" s="14" t="str">
        <x:v>structure</x:v>
      </x:c>
      <x:c r="F15" s="17" t="n">
        <x:v>3</x:v>
      </x:c>
      <x:c r="G15" s="17" t="n">
        <x:v>0.2</x:v>
      </x:c>
      <x:c r="H15" s="17" t="n">
        <x:v>3</x:v>
      </x:c>
      <x:c r="I15" s="14" t="n">
        <x:v>100</x:v>
      </x:c>
      <x:c r="J15" s="17" t="n">
        <x:v>10</x:v>
      </x:c>
      <x:c r="K15" s="17" t="n">
        <x:v>100</x:v>
      </x:c>
      <x:c r="L15" s="17" t="n">
        <x:f>K15-J15</x:f>
        <x:v>90</x:v>
      </x:c>
      <x:c r="M15" s="14" t="str">
        <x:v>No</x:v>
      </x:c>
      <x:c r="N15" s="14" t="str">
        <x:v>None</x:v>
      </x:c>
      <x:c r="O15" s="19" t="str">
        <x:v>Structural piece; loads follow the support chain.</x:v>
      </x:c>
    </x:row>
    <x:row r="16" ht="46" customHeight="1">
      <x:c r="A16" s="15" t="n">
        <x:v>8</x:v>
      </x:c>
      <x:c r="B16" s="15" t="str">
        <x:v>Stone-braced foundation</x:v>
      </x:c>
      <x:c r="C16" s="15" t="str">
        <x:v>Buildings</x:v>
      </x:c>
      <x:c r="D16" s="15" t="n">
        <x:v>2</x:v>
      </x:c>
      <x:c r="E16" s="15" t="str">
        <x:v>structure</x:v>
      </x:c>
      <x:c r="F16" s="16" t="n">
        <x:v>3</x:v>
      </x:c>
      <x:c r="G16" s="16" t="n">
        <x:v>0.5</x:v>
      </x:c>
      <x:c r="H16" s="16" t="n">
        <x:v>3</x:v>
      </x:c>
      <x:c r="I16" s="15" t="n">
        <x:v>180</x:v>
      </x:c>
      <x:c r="J16" s="16" t="n">
        <x:v>43.4</x:v>
      </x:c>
      <x:c r="K16" s="16" t="n">
        <x:v>1260</x:v>
      </x:c>
      <x:c r="L16" s="16" t="n">
        <x:f>K16-J16</x:f>
        <x:v>1216.6</x:v>
      </x:c>
      <x:c r="M16" s="15" t="str">
        <x:v>Yes</x:v>
      </x:c>
      <x:c r="N16" s="15" t="str">
        <x:v>None</x:v>
      </x:c>
      <x:c r="O16" s="18" t="str">
        <x:v>Structural piece; loads follow the support chain.</x:v>
      </x:c>
    </x:row>
    <x:row r="17" ht="46" customHeight="1">
      <x:c r="A17" s="14" t="n">
        <x:v>9</x:v>
      </x:c>
      <x:c r="B17" s="14" t="str">
        <x:v>Stone-braced floor</x:v>
      </x:c>
      <x:c r="C17" s="14" t="str">
        <x:v>Buildings</x:v>
      </x:c>
      <x:c r="D17" s="14" t="n">
        <x:v>2</x:v>
      </x:c>
      <x:c r="E17" s="14" t="str">
        <x:v>structure</x:v>
      </x:c>
      <x:c r="F17" s="17" t="n">
        <x:v>3</x:v>
      </x:c>
      <x:c r="G17" s="17" t="n">
        <x:v>0.2</x:v>
      </x:c>
      <x:c r="H17" s="17" t="n">
        <x:v>3</x:v>
      </x:c>
      <x:c r="I17" s="14" t="n">
        <x:v>180</x:v>
      </x:c>
      <x:c r="J17" s="17" t="n">
        <x:v>14.879999999999999</x:v>
      </x:c>
      <x:c r="K17" s="17" t="n">
        <x:v>231</x:v>
      </x:c>
      <x:c r="L17" s="17" t="n">
        <x:f>K17-J17</x:f>
        <x:v>216.12</x:v>
      </x:c>
      <x:c r="M17" s="14" t="str">
        <x:v>No</x:v>
      </x:c>
      <x:c r="N17" s="14" t="str">
        <x:v>None</x:v>
      </x:c>
      <x:c r="O17" s="19" t="str">
        <x:v>Structural piece; loads follow the support chain.</x:v>
      </x:c>
    </x:row>
    <x:row r="18" ht="46" customHeight="1">
      <x:c r="A18" s="15" t="n">
        <x:v>10</x:v>
      </x:c>
      <x:c r="B18" s="15" t="str">
        <x:v>Stone-braced wall</x:v>
      </x:c>
      <x:c r="C18" s="15" t="str">
        <x:v>Buildings</x:v>
      </x:c>
      <x:c r="D18" s="15" t="n">
        <x:v>2</x:v>
      </x:c>
      <x:c r="E18" s="15" t="str">
        <x:v>structure</x:v>
      </x:c>
      <x:c r="F18" s="16" t="n">
        <x:v>3</x:v>
      </x:c>
      <x:c r="G18" s="16" t="n">
        <x:v>2.5</x:v>
      </x:c>
      <x:c r="H18" s="16" t="n">
        <x:v>0.2</x:v>
      </x:c>
      <x:c r="I18" s="15" t="n">
        <x:v>180</x:v>
      </x:c>
      <x:c r="J18" s="16" t="n">
        <x:v>22.32</x:v>
      </x:c>
      <x:c r="K18" s="16" t="n">
        <x:v>462</x:v>
      </x:c>
      <x:c r="L18" s="16" t="n">
        <x:f>K18-J18</x:f>
        <x:v>439.68</x:v>
      </x:c>
      <x:c r="M18" s="15" t="str">
        <x:v>Yes</x:v>
      </x:c>
      <x:c r="N18" s="15" t="str">
        <x:v>None</x:v>
      </x:c>
      <x:c r="O18" s="18" t="str">
        <x:v>Structural piece; loads follow the support chain.</x:v>
      </x:c>
    </x:row>
    <x:row r="19" ht="46" customHeight="1">
      <x:c r="A19" s="14" t="n">
        <x:v>11</x:v>
      </x:c>
      <x:c r="B19" s="14" t="str">
        <x:v>Stone-braced half wall</x:v>
      </x:c>
      <x:c r="C19" s="14" t="str">
        <x:v>Buildings</x:v>
      </x:c>
      <x:c r="D19" s="14" t="n">
        <x:v>2</x:v>
      </x:c>
      <x:c r="E19" s="14" t="str">
        <x:v>structure</x:v>
      </x:c>
      <x:c r="F19" s="17" t="n">
        <x:v>3</x:v>
      </x:c>
      <x:c r="G19" s="17" t="n">
        <x:v>1.25</x:v>
      </x:c>
      <x:c r="H19" s="17" t="n">
        <x:v>0.2</x:v>
      </x:c>
      <x:c r="I19" s="14" t="n">
        <x:v>180</x:v>
      </x:c>
      <x:c r="J19" s="17" t="n">
        <x:v>12.4</x:v>
      </x:c>
      <x:c r="K19" s="17" t="n">
        <x:v>315</x:v>
      </x:c>
      <x:c r="L19" s="17" t="n">
        <x:f>K19-J19</x:f>
        <x:v>302.6</x:v>
      </x:c>
      <x:c r="M19" s="14" t="str">
        <x:v>Yes</x:v>
      </x:c>
      <x:c r="N19" s="14" t="str">
        <x:v>None</x:v>
      </x:c>
      <x:c r="O19" s="19" t="str">
        <x:v>Structural piece; loads follow the support chain.</x:v>
      </x:c>
    </x:row>
    <x:row r="20" ht="46" customHeight="1">
      <x:c r="A20" s="15" t="n">
        <x:v>12</x:v>
      </x:c>
      <x:c r="B20" s="15" t="str">
        <x:v>Stone-braced pillar</x:v>
      </x:c>
      <x:c r="C20" s="15" t="str">
        <x:v>Buildings</x:v>
      </x:c>
      <x:c r="D20" s="15" t="n">
        <x:v>2</x:v>
      </x:c>
      <x:c r="E20" s="15" t="str">
        <x:v>structure</x:v>
      </x:c>
      <x:c r="F20" s="16" t="n">
        <x:v>0.3</x:v>
      </x:c>
      <x:c r="G20" s="16" t="n">
        <x:v>2.5</x:v>
      </x:c>
      <x:c r="H20" s="16" t="n">
        <x:v>0.3</x:v>
      </x:c>
      <x:c r="I20" s="15" t="n">
        <x:v>180</x:v>
      </x:c>
      <x:c r="J20" s="16" t="n">
        <x:v>9.92</x:v>
      </x:c>
      <x:c r="K20" s="16" t="n">
        <x:v>546</x:v>
      </x:c>
      <x:c r="L20" s="16" t="n">
        <x:f>K20-J20</x:f>
        <x:v>536.08</x:v>
      </x:c>
      <x:c r="M20" s="15" t="str">
        <x:v>Yes</x:v>
      </x:c>
      <x:c r="N20" s="15" t="str">
        <x:v>None</x:v>
      </x:c>
      <x:c r="O20" s="18" t="str">
        <x:v>Structural piece; loads follow the support chain.</x:v>
      </x:c>
    </x:row>
    <x:row r="21" ht="46" customHeight="1">
      <x:c r="A21" s="14" t="n">
        <x:v>13</x:v>
      </x:c>
      <x:c r="B21" s="14" t="str">
        <x:v>Stone-braced beam</x:v>
      </x:c>
      <x:c r="C21" s="14" t="str">
        <x:v>Buildings</x:v>
      </x:c>
      <x:c r="D21" s="14" t="n">
        <x:v>2</x:v>
      </x:c>
      <x:c r="E21" s="14" t="str">
        <x:v>structure</x:v>
      </x:c>
      <x:c r="F21" s="17" t="n">
        <x:v>3</x:v>
      </x:c>
      <x:c r="G21" s="17" t="n">
        <x:v>0.3</x:v>
      </x:c>
      <x:c r="H21" s="17" t="n">
        <x:v>0.3</x:v>
      </x:c>
      <x:c r="I21" s="14" t="n">
        <x:v>180</x:v>
      </x:c>
      <x:c r="J21" s="17" t="n">
        <x:v>8.68</x:v>
      </x:c>
      <x:c r="K21" s="17" t="n">
        <x:v>336</x:v>
      </x:c>
      <x:c r="L21" s="17" t="n">
        <x:f>K21-J21</x:f>
        <x:v>327.32</x:v>
      </x:c>
      <x:c r="M21" s="14" t="str">
        <x:v>No</x:v>
      </x:c>
      <x:c r="N21" s="14" t="str">
        <x:v>None</x:v>
      </x:c>
      <x:c r="O21" s="19" t="str">
        <x:v>Structural piece; loads follow the support chain.</x:v>
      </x:c>
    </x:row>
    <x:row r="22" ht="46" customHeight="1">
      <x:c r="A22" s="15" t="n">
        <x:v>14</x:v>
      </x:c>
      <x:c r="B22" s="15" t="str">
        <x:v>Stone-braced stairs</x:v>
      </x:c>
      <x:c r="C22" s="15" t="str">
        <x:v>Buildings</x:v>
      </x:c>
      <x:c r="D22" s="15" t="n">
        <x:v>2</x:v>
      </x:c>
      <x:c r="E22" s="15" t="str">
        <x:v>structure</x:v>
      </x:c>
      <x:c r="F22" s="16" t="n">
        <x:v>3</x:v>
      </x:c>
      <x:c r="G22" s="16" t="n">
        <x:v>2.5</x:v>
      </x:c>
      <x:c r="H22" s="16" t="n">
        <x:v>3</x:v>
      </x:c>
      <x:c r="I22" s="15" t="n">
        <x:v>180</x:v>
      </x:c>
      <x:c r="J22" s="16" t="n">
        <x:v>29.759999999999998</x:v>
      </x:c>
      <x:c r="K22" s="16" t="n">
        <x:v>273</x:v>
      </x:c>
      <x:c r="L22" s="16" t="n">
        <x:f>K22-J22</x:f>
        <x:v>243.24</x:v>
      </x:c>
      <x:c r="M22" s="15" t="str">
        <x:v>No</x:v>
      </x:c>
      <x:c r="N22" s="15" t="str">
        <x:v>None</x:v>
      </x:c>
      <x:c r="O22" s="18" t="str">
        <x:v>Structural piece; loads follow the support chain.</x:v>
      </x:c>
    </x:row>
    <x:row r="23" ht="46" customHeight="1">
      <x:c r="A23" s="14" t="n">
        <x:v>15</x:v>
      </x:c>
      <x:c r="B23" s="14" t="str">
        <x:v>Stone-braced roof</x:v>
      </x:c>
      <x:c r="C23" s="14" t="str">
        <x:v>Buildings</x:v>
      </x:c>
      <x:c r="D23" s="14" t="n">
        <x:v>2</x:v>
      </x:c>
      <x:c r="E23" s="14" t="str">
        <x:v>structure</x:v>
      </x:c>
      <x:c r="F23" s="17" t="n">
        <x:v>3</x:v>
      </x:c>
      <x:c r="G23" s="17" t="n">
        <x:v>0.2</x:v>
      </x:c>
      <x:c r="H23" s="17" t="n">
        <x:v>3</x:v>
      </x:c>
      <x:c r="I23" s="14" t="n">
        <x:v>180</x:v>
      </x:c>
      <x:c r="J23" s="17" t="n">
        <x:v>12.4</x:v>
      </x:c>
      <x:c r="K23" s="17" t="n">
        <x:v>210</x:v>
      </x:c>
      <x:c r="L23" s="17" t="n">
        <x:f>K23-J23</x:f>
        <x:v>197.6</x:v>
      </x:c>
      <x:c r="M23" s="14" t="str">
        <x:v>No</x:v>
      </x:c>
      <x:c r="N23" s="14" t="str">
        <x:v>None</x:v>
      </x:c>
      <x:c r="O23" s="19" t="str">
        <x:v>Structural piece; loads follow the support chain.</x:v>
      </x:c>
    </x:row>
    <x:row r="24" ht="46" customHeight="1">
      <x:c r="A24" s="15" t="n">
        <x:v>16</x:v>
      </x:c>
      <x:c r="B24" s="15" t="str">
        <x:v>Scrap steel foundation</x:v>
      </x:c>
      <x:c r="C24" s="15" t="str">
        <x:v>Buildings</x:v>
      </x:c>
      <x:c r="D24" s="15" t="n">
        <x:v>3</x:v>
      </x:c>
      <x:c r="E24" s="15" t="str">
        <x:v>structure</x:v>
      </x:c>
      <x:c r="F24" s="16" t="n">
        <x:v>3</x:v>
      </x:c>
      <x:c r="G24" s="16" t="n">
        <x:v>0.5</x:v>
      </x:c>
      <x:c r="H24" s="16" t="n">
        <x:v>3</x:v>
      </x:c>
      <x:c r="I24" s="15" t="n">
        <x:v>300</x:v>
      </x:c>
      <x:c r="J24" s="16" t="n">
        <x:v>47.599999999999994</x:v>
      </x:c>
      <x:c r="K24" s="16" t="n">
        <x:v>1590.0000000000002</x:v>
      </x:c>
      <x:c r="L24" s="16" t="n">
        <x:f>K24-J24</x:f>
        <x:v>1542.4000000000003</x:v>
      </x:c>
      <x:c r="M24" s="15" t="str">
        <x:v>Yes</x:v>
      </x:c>
      <x:c r="N24" s="15" t="str">
        <x:v>None</x:v>
      </x:c>
      <x:c r="O24" s="18" t="str">
        <x:v>Structural piece; loads follow the support chain.</x:v>
      </x:c>
    </x:row>
    <x:row r="25" ht="46" customHeight="1">
      <x:c r="A25" s="14" t="n">
        <x:v>17</x:v>
      </x:c>
      <x:c r="B25" s="14" t="str">
        <x:v>Scrap steel floor</x:v>
      </x:c>
      <x:c r="C25" s="14" t="str">
        <x:v>Buildings</x:v>
      </x:c>
      <x:c r="D25" s="14" t="n">
        <x:v>3</x:v>
      </x:c>
      <x:c r="E25" s="14" t="str">
        <x:v>structure</x:v>
      </x:c>
      <x:c r="F25" s="17" t="n">
        <x:v>3</x:v>
      </x:c>
      <x:c r="G25" s="17" t="n">
        <x:v>0.2</x:v>
      </x:c>
      <x:c r="H25" s="17" t="n">
        <x:v>3</x:v>
      </x:c>
      <x:c r="I25" s="14" t="n">
        <x:v>300</x:v>
      </x:c>
      <x:c r="J25" s="17" t="n">
        <x:v>16.32</x:v>
      </x:c>
      <x:c r="K25" s="17" t="n">
        <x:v>291.50000000000006</x:v>
      </x:c>
      <x:c r="L25" s="17" t="n">
        <x:f>K25-J25</x:f>
        <x:v>275.18000000000006</x:v>
      </x:c>
      <x:c r="M25" s="14" t="str">
        <x:v>No</x:v>
      </x:c>
      <x:c r="N25" s="14" t="str">
        <x:v>None</x:v>
      </x:c>
      <x:c r="O25" s="19" t="str">
        <x:v>Structural piece; loads follow the support chain.</x:v>
      </x:c>
    </x:row>
    <x:row r="26" ht="46" customHeight="1">
      <x:c r="A26" s="15" t="n">
        <x:v>18</x:v>
      </x:c>
      <x:c r="B26" s="15" t="str">
        <x:v>Scrap steel wall</x:v>
      </x:c>
      <x:c r="C26" s="15" t="str">
        <x:v>Buildings</x:v>
      </x:c>
      <x:c r="D26" s="15" t="n">
        <x:v>3</x:v>
      </x:c>
      <x:c r="E26" s="15" t="str">
        <x:v>structure</x:v>
      </x:c>
      <x:c r="F26" s="16" t="n">
        <x:v>3</x:v>
      </x:c>
      <x:c r="G26" s="16" t="n">
        <x:v>2.5</x:v>
      </x:c>
      <x:c r="H26" s="16" t="n">
        <x:v>0.2</x:v>
      </x:c>
      <x:c r="I26" s="15" t="n">
        <x:v>300</x:v>
      </x:c>
      <x:c r="J26" s="16" t="n">
        <x:v>24.479999999999997</x:v>
      </x:c>
      <x:c r="K26" s="16" t="n">
        <x:v>583.0000000000001</x:v>
      </x:c>
      <x:c r="L26" s="16" t="n">
        <x:f>K26-J26</x:f>
        <x:v>558.5200000000001</x:v>
      </x:c>
      <x:c r="M26" s="15" t="str">
        <x:v>Yes</x:v>
      </x:c>
      <x:c r="N26" s="15" t="str">
        <x:v>None</x:v>
      </x:c>
      <x:c r="O26" s="18" t="str">
        <x:v>Structural piece; loads follow the support chain.</x:v>
      </x:c>
    </x:row>
    <x:row r="27" ht="46" customHeight="1">
      <x:c r="A27" s="14" t="n">
        <x:v>19</x:v>
      </x:c>
      <x:c r="B27" s="14" t="str">
        <x:v>Scrap steel half wall</x:v>
      </x:c>
      <x:c r="C27" s="14" t="str">
        <x:v>Buildings</x:v>
      </x:c>
      <x:c r="D27" s="14" t="n">
        <x:v>3</x:v>
      </x:c>
      <x:c r="E27" s="14" t="str">
        <x:v>structure</x:v>
      </x:c>
      <x:c r="F27" s="17" t="n">
        <x:v>3</x:v>
      </x:c>
      <x:c r="G27" s="17" t="n">
        <x:v>1.25</x:v>
      </x:c>
      <x:c r="H27" s="17" t="n">
        <x:v>0.2</x:v>
      </x:c>
      <x:c r="I27" s="14" t="n">
        <x:v>300</x:v>
      </x:c>
      <x:c r="J27" s="17" t="n">
        <x:v>13.599999999999998</x:v>
      </x:c>
      <x:c r="K27" s="17" t="n">
        <x:v>397.50000000000006</x:v>
      </x:c>
      <x:c r="L27" s="17" t="n">
        <x:f>K27-J27</x:f>
        <x:v>383.90000000000003</x:v>
      </x:c>
      <x:c r="M27" s="14" t="str">
        <x:v>Yes</x:v>
      </x:c>
      <x:c r="N27" s="14" t="str">
        <x:v>None</x:v>
      </x:c>
      <x:c r="O27" s="19" t="str">
        <x:v>Structural piece; loads follow the support chain.</x:v>
      </x:c>
    </x:row>
    <x:row r="28" ht="46" customHeight="1">
      <x:c r="A28" s="15" t="n">
        <x:v>20</x:v>
      </x:c>
      <x:c r="B28" s="15" t="str">
        <x:v>Scrap steel pillar</x:v>
      </x:c>
      <x:c r="C28" s="15" t="str">
        <x:v>Buildings</x:v>
      </x:c>
      <x:c r="D28" s="15" t="n">
        <x:v>3</x:v>
      </x:c>
      <x:c r="E28" s="15" t="str">
        <x:v>structure</x:v>
      </x:c>
      <x:c r="F28" s="16" t="n">
        <x:v>0.3</x:v>
      </x:c>
      <x:c r="G28" s="16" t="n">
        <x:v>2.5</x:v>
      </x:c>
      <x:c r="H28" s="16" t="n">
        <x:v>0.3</x:v>
      </x:c>
      <x:c r="I28" s="15" t="n">
        <x:v>300</x:v>
      </x:c>
      <x:c r="J28" s="16" t="n">
        <x:v>10.879999999999999</x:v>
      </x:c>
      <x:c r="K28" s="16" t="n">
        <x:v>689.0000000000001</x:v>
      </x:c>
      <x:c r="L28" s="16" t="n">
        <x:f>K28-J28</x:f>
        <x:v>678.1200000000001</x:v>
      </x:c>
      <x:c r="M28" s="15" t="str">
        <x:v>Yes</x:v>
      </x:c>
      <x:c r="N28" s="15" t="str">
        <x:v>None</x:v>
      </x:c>
      <x:c r="O28" s="18" t="str">
        <x:v>Structural piece; loads follow the support chain.</x:v>
      </x:c>
    </x:row>
    <x:row r="29" ht="46" customHeight="1">
      <x:c r="A29" s="14" t="n">
        <x:v>21</x:v>
      </x:c>
      <x:c r="B29" s="14" t="str">
        <x:v>Scrap steel beam</x:v>
      </x:c>
      <x:c r="C29" s="14" t="str">
        <x:v>Buildings</x:v>
      </x:c>
      <x:c r="D29" s="14" t="n">
        <x:v>3</x:v>
      </x:c>
      <x:c r="E29" s="14" t="str">
        <x:v>structure</x:v>
      </x:c>
      <x:c r="F29" s="17" t="n">
        <x:v>3</x:v>
      </x:c>
      <x:c r="G29" s="17" t="n">
        <x:v>0.3</x:v>
      </x:c>
      <x:c r="H29" s="17" t="n">
        <x:v>0.3</x:v>
      </x:c>
      <x:c r="I29" s="14" t="n">
        <x:v>300</x:v>
      </x:c>
      <x:c r="J29" s="17" t="n">
        <x:v>9.52</x:v>
      </x:c>
      <x:c r="K29" s="17" t="n">
        <x:v>424.00000000000006</x:v>
      </x:c>
      <x:c r="L29" s="17" t="n">
        <x:f>K29-J29</x:f>
        <x:v>414.4800000000001</x:v>
      </x:c>
      <x:c r="M29" s="14" t="str">
        <x:v>No</x:v>
      </x:c>
      <x:c r="N29" s="14" t="str">
        <x:v>None</x:v>
      </x:c>
      <x:c r="O29" s="19" t="str">
        <x:v>Structural piece; loads follow the support chain.</x:v>
      </x:c>
    </x:row>
    <x:row r="30" ht="46" customHeight="1">
      <x:c r="A30" s="15" t="n">
        <x:v>22</x:v>
      </x:c>
      <x:c r="B30" s="15" t="str">
        <x:v>Scrap steel stairs</x:v>
      </x:c>
      <x:c r="C30" s="15" t="str">
        <x:v>Buildings</x:v>
      </x:c>
      <x:c r="D30" s="15" t="n">
        <x:v>3</x:v>
      </x:c>
      <x:c r="E30" s="15" t="str">
        <x:v>structure</x:v>
      </x:c>
      <x:c r="F30" s="16" t="n">
        <x:v>3</x:v>
      </x:c>
      <x:c r="G30" s="16" t="n">
        <x:v>2.5</x:v>
      </x:c>
      <x:c r="H30" s="16" t="n">
        <x:v>3</x:v>
      </x:c>
      <x:c r="I30" s="15" t="n">
        <x:v>300</x:v>
      </x:c>
      <x:c r="J30" s="16" t="n">
        <x:v>32.64</x:v>
      </x:c>
      <x:c r="K30" s="16" t="n">
        <x:v>344.50000000000006</x:v>
      </x:c>
      <x:c r="L30" s="16" t="n">
        <x:f>K30-J30</x:f>
        <x:v>311.86000000000007</x:v>
      </x:c>
      <x:c r="M30" s="15" t="str">
        <x:v>No</x:v>
      </x:c>
      <x:c r="N30" s="15" t="str">
        <x:v>None</x:v>
      </x:c>
      <x:c r="O30" s="18" t="str">
        <x:v>Structural piece; loads follow the support chain.</x:v>
      </x:c>
    </x:row>
    <x:row r="31" ht="46" customHeight="1">
      <x:c r="A31" s="14" t="n">
        <x:v>23</x:v>
      </x:c>
      <x:c r="B31" s="14" t="str">
        <x:v>Scrap steel roof</x:v>
      </x:c>
      <x:c r="C31" s="14" t="str">
        <x:v>Buildings</x:v>
      </x:c>
      <x:c r="D31" s="14" t="n">
        <x:v>3</x:v>
      </x:c>
      <x:c r="E31" s="14" t="str">
        <x:v>structure</x:v>
      </x:c>
      <x:c r="F31" s="17" t="n">
        <x:v>3</x:v>
      </x:c>
      <x:c r="G31" s="17" t="n">
        <x:v>0.2</x:v>
      </x:c>
      <x:c r="H31" s="17" t="n">
        <x:v>3</x:v>
      </x:c>
      <x:c r="I31" s="14" t="n">
        <x:v>300</x:v>
      </x:c>
      <x:c r="J31" s="17" t="n">
        <x:v>13.599999999999998</x:v>
      </x:c>
      <x:c r="K31" s="17" t="n">
        <x:v>265.00000000000006</x:v>
      </x:c>
      <x:c r="L31" s="17" t="n">
        <x:f>K31-J31</x:f>
        <x:v>251.40000000000006</x:v>
      </x:c>
      <x:c r="M31" s="14" t="str">
        <x:v>No</x:v>
      </x:c>
      <x:c r="N31" s="14" t="str">
        <x:v>None</x:v>
      </x:c>
      <x:c r="O31" s="19" t="str">
        <x:v>Structural piece; loads follow the support chain.</x:v>
      </x:c>
    </x:row>
    <x:row r="32" ht="46" customHeight="1">
      <x:c r="A32" s="15" t="n">
        <x:v>24</x:v>
      </x:c>
      <x:c r="B32" s="15" t="str">
        <x:v>Reinforced concrete foundation</x:v>
      </x:c>
      <x:c r="C32" s="15" t="str">
        <x:v>Buildings</x:v>
      </x:c>
      <x:c r="D32" s="15" t="n">
        <x:v>4</x:v>
      </x:c>
      <x:c r="E32" s="15" t="str">
        <x:v>structure</x:v>
      </x:c>
      <x:c r="F32" s="16" t="n">
        <x:v>3</x:v>
      </x:c>
      <x:c r="G32" s="16" t="n">
        <x:v>0.5</x:v>
      </x:c>
      <x:c r="H32" s="16" t="n">
        <x:v>3</x:v>
      </x:c>
      <x:c r="I32" s="15" t="n">
        <x:v>460</x:v>
      </x:c>
      <x:c r="J32" s="16" t="n">
        <x:v>51.8</x:v>
      </x:c>
      <x:c r="K32" s="16" t="n">
        <x:v>1920</x:v>
      </x:c>
      <x:c r="L32" s="16" t="n">
        <x:f>K32-J32</x:f>
        <x:v>1868.2</x:v>
      </x:c>
      <x:c r="M32" s="15" t="str">
        <x:v>Yes</x:v>
      </x:c>
      <x:c r="N32" s="15" t="str">
        <x:v>None</x:v>
      </x:c>
      <x:c r="O32" s="18" t="str">
        <x:v>Structural piece; loads follow the support chain.</x:v>
      </x:c>
    </x:row>
    <x:row r="33" ht="46" customHeight="1">
      <x:c r="A33" s="14" t="n">
        <x:v>25</x:v>
      </x:c>
      <x:c r="B33" s="14" t="str">
        <x:v>Reinforced concrete floor</x:v>
      </x:c>
      <x:c r="C33" s="14" t="str">
        <x:v>Buildings</x:v>
      </x:c>
      <x:c r="D33" s="14" t="n">
        <x:v>4</x:v>
      </x:c>
      <x:c r="E33" s="14" t="str">
        <x:v>structure</x:v>
      </x:c>
      <x:c r="F33" s="17" t="n">
        <x:v>3</x:v>
      </x:c>
      <x:c r="G33" s="17" t="n">
        <x:v>0.2</x:v>
      </x:c>
      <x:c r="H33" s="17" t="n">
        <x:v>3</x:v>
      </x:c>
      <x:c r="I33" s="14" t="n">
        <x:v>460</x:v>
      </x:c>
      <x:c r="J33" s="17" t="n">
        <x:v>17.759999999999998</x:v>
      </x:c>
      <x:c r="K33" s="17" t="n">
        <x:v>352</x:v>
      </x:c>
      <x:c r="L33" s="17" t="n">
        <x:f>K33-J33</x:f>
        <x:v>334.24</x:v>
      </x:c>
      <x:c r="M33" s="14" t="str">
        <x:v>No</x:v>
      </x:c>
      <x:c r="N33" s="14" t="str">
        <x:v>None</x:v>
      </x:c>
      <x:c r="O33" s="19" t="str">
        <x:v>Structural piece; loads follow the support chain.</x:v>
      </x:c>
    </x:row>
    <x:row r="34" ht="46" customHeight="1">
      <x:c r="A34" s="15" t="n">
        <x:v>26</x:v>
      </x:c>
      <x:c r="B34" s="15" t="str">
        <x:v>Reinforced concrete wall</x:v>
      </x:c>
      <x:c r="C34" s="15" t="str">
        <x:v>Buildings</x:v>
      </x:c>
      <x:c r="D34" s="15" t="n">
        <x:v>4</x:v>
      </x:c>
      <x:c r="E34" s="15" t="str">
        <x:v>structure</x:v>
      </x:c>
      <x:c r="F34" s="16" t="n">
        <x:v>3</x:v>
      </x:c>
      <x:c r="G34" s="16" t="n">
        <x:v>2.5</x:v>
      </x:c>
      <x:c r="H34" s="16" t="n">
        <x:v>0.2</x:v>
      </x:c>
      <x:c r="I34" s="15" t="n">
        <x:v>460</x:v>
      </x:c>
      <x:c r="J34" s="16" t="n">
        <x:v>26.64</x:v>
      </x:c>
      <x:c r="K34" s="16" t="n">
        <x:v>704</x:v>
      </x:c>
      <x:c r="L34" s="16" t="n">
        <x:f>K34-J34</x:f>
        <x:v>677.36</x:v>
      </x:c>
      <x:c r="M34" s="15" t="str">
        <x:v>Yes</x:v>
      </x:c>
      <x:c r="N34" s="15" t="str">
        <x:v>None</x:v>
      </x:c>
      <x:c r="O34" s="18" t="str">
        <x:v>Structural piece; loads follow the support chain.</x:v>
      </x:c>
    </x:row>
    <x:row r="35" ht="46" customHeight="1">
      <x:c r="A35" s="14" t="n">
        <x:v>27</x:v>
      </x:c>
      <x:c r="B35" s="14" t="str">
        <x:v>Reinforced concrete half wall</x:v>
      </x:c>
      <x:c r="C35" s="14" t="str">
        <x:v>Buildings</x:v>
      </x:c>
      <x:c r="D35" s="14" t="n">
        <x:v>4</x:v>
      </x:c>
      <x:c r="E35" s="14" t="str">
        <x:v>structure</x:v>
      </x:c>
      <x:c r="F35" s="17" t="n">
        <x:v>3</x:v>
      </x:c>
      <x:c r="G35" s="17" t="n">
        <x:v>1.25</x:v>
      </x:c>
      <x:c r="H35" s="17" t="n">
        <x:v>0.2</x:v>
      </x:c>
      <x:c r="I35" s="14" t="n">
        <x:v>460</x:v>
      </x:c>
      <x:c r="J35" s="17" t="n">
        <x:v>14.8</x:v>
      </x:c>
      <x:c r="K35" s="17" t="n">
        <x:v>480</x:v>
      </x:c>
      <x:c r="L35" s="17" t="n">
        <x:f>K35-J35</x:f>
        <x:v>465.2</x:v>
      </x:c>
      <x:c r="M35" s="14" t="str">
        <x:v>Yes</x:v>
      </x:c>
      <x:c r="N35" s="14" t="str">
        <x:v>None</x:v>
      </x:c>
      <x:c r="O35" s="19" t="str">
        <x:v>Structural piece; loads follow the support chain.</x:v>
      </x:c>
    </x:row>
    <x:row r="36" ht="46" customHeight="1">
      <x:c r="A36" s="15" t="n">
        <x:v>28</x:v>
      </x:c>
      <x:c r="B36" s="15" t="str">
        <x:v>Reinforced concrete pillar</x:v>
      </x:c>
      <x:c r="C36" s="15" t="str">
        <x:v>Buildings</x:v>
      </x:c>
      <x:c r="D36" s="15" t="n">
        <x:v>4</x:v>
      </x:c>
      <x:c r="E36" s="15" t="str">
        <x:v>structure</x:v>
      </x:c>
      <x:c r="F36" s="16" t="n">
        <x:v>0.3</x:v>
      </x:c>
      <x:c r="G36" s="16" t="n">
        <x:v>2.5</x:v>
      </x:c>
      <x:c r="H36" s="16" t="n">
        <x:v>0.3</x:v>
      </x:c>
      <x:c r="I36" s="15" t="n">
        <x:v>460</x:v>
      </x:c>
      <x:c r="J36" s="16" t="n">
        <x:v>11.84</x:v>
      </x:c>
      <x:c r="K36" s="16" t="n">
        <x:v>832</x:v>
      </x:c>
      <x:c r="L36" s="16" t="n">
        <x:f>K36-J36</x:f>
        <x:v>820.16</x:v>
      </x:c>
      <x:c r="M36" s="15" t="str">
        <x:v>Yes</x:v>
      </x:c>
      <x:c r="N36" s="15" t="str">
        <x:v>None</x:v>
      </x:c>
      <x:c r="O36" s="18" t="str">
        <x:v>Structural piece; loads follow the support chain.</x:v>
      </x:c>
    </x:row>
    <x:row r="37" ht="46" customHeight="1">
      <x:c r="A37" s="14" t="n">
        <x:v>29</x:v>
      </x:c>
      <x:c r="B37" s="14" t="str">
        <x:v>Reinforced concrete beam</x:v>
      </x:c>
      <x:c r="C37" s="14" t="str">
        <x:v>Buildings</x:v>
      </x:c>
      <x:c r="D37" s="14" t="n">
        <x:v>4</x:v>
      </x:c>
      <x:c r="E37" s="14" t="str">
        <x:v>structure</x:v>
      </x:c>
      <x:c r="F37" s="17" t="n">
        <x:v>3</x:v>
      </x:c>
      <x:c r="G37" s="17" t="n">
        <x:v>0.3</x:v>
      </x:c>
      <x:c r="H37" s="17" t="n">
        <x:v>0.3</x:v>
      </x:c>
      <x:c r="I37" s="14" t="n">
        <x:v>460</x:v>
      </x:c>
      <x:c r="J37" s="17" t="n">
        <x:v>10.36</x:v>
      </x:c>
      <x:c r="K37" s="17" t="n">
        <x:v>512</x:v>
      </x:c>
      <x:c r="L37" s="17" t="n">
        <x:f>K37-J37</x:f>
        <x:v>501.64</x:v>
      </x:c>
      <x:c r="M37" s="14" t="str">
        <x:v>No</x:v>
      </x:c>
      <x:c r="N37" s="14" t="str">
        <x:v>None</x:v>
      </x:c>
      <x:c r="O37" s="19" t="str">
        <x:v>Structural piece; loads follow the support chain.</x:v>
      </x:c>
    </x:row>
    <x:row r="38" ht="46" customHeight="1">
      <x:c r="A38" s="15" t="n">
        <x:v>30</x:v>
      </x:c>
      <x:c r="B38" s="15" t="str">
        <x:v>Reinforced concrete stairs</x:v>
      </x:c>
      <x:c r="C38" s="15" t="str">
        <x:v>Buildings</x:v>
      </x:c>
      <x:c r="D38" s="15" t="n">
        <x:v>4</x:v>
      </x:c>
      <x:c r="E38" s="15" t="str">
        <x:v>structure</x:v>
      </x:c>
      <x:c r="F38" s="16" t="n">
        <x:v>3</x:v>
      </x:c>
      <x:c r="G38" s="16" t="n">
        <x:v>2.5</x:v>
      </x:c>
      <x:c r="H38" s="16" t="n">
        <x:v>3</x:v>
      </x:c>
      <x:c r="I38" s="15" t="n">
        <x:v>460</x:v>
      </x:c>
      <x:c r="J38" s="16" t="n">
        <x:v>35.519999999999996</x:v>
      </x:c>
      <x:c r="K38" s="16" t="n">
        <x:v>416</x:v>
      </x:c>
      <x:c r="L38" s="16" t="n">
        <x:f>K38-J38</x:f>
        <x:v>380.48</x:v>
      </x:c>
      <x:c r="M38" s="15" t="str">
        <x:v>No</x:v>
      </x:c>
      <x:c r="N38" s="15" t="str">
        <x:v>None</x:v>
      </x:c>
      <x:c r="O38" s="18" t="str">
        <x:v>Structural piece; loads follow the support chain.</x:v>
      </x:c>
    </x:row>
    <x:row r="39" ht="46" customHeight="1">
      <x:c r="A39" s="14" t="n">
        <x:v>31</x:v>
      </x:c>
      <x:c r="B39" s="14" t="str">
        <x:v>Reinforced concrete roof</x:v>
      </x:c>
      <x:c r="C39" s="14" t="str">
        <x:v>Buildings</x:v>
      </x:c>
      <x:c r="D39" s="14" t="n">
        <x:v>4</x:v>
      </x:c>
      <x:c r="E39" s="14" t="str">
        <x:v>structure</x:v>
      </x:c>
      <x:c r="F39" s="17" t="n">
        <x:v>3</x:v>
      </x:c>
      <x:c r="G39" s="17" t="n">
        <x:v>0.2</x:v>
      </x:c>
      <x:c r="H39" s="17" t="n">
        <x:v>3</x:v>
      </x:c>
      <x:c r="I39" s="14" t="n">
        <x:v>460</x:v>
      </x:c>
      <x:c r="J39" s="17" t="n">
        <x:v>14.8</x:v>
      </x:c>
      <x:c r="K39" s="17" t="n">
        <x:v>320</x:v>
      </x:c>
      <x:c r="L39" s="17" t="n">
        <x:f>K39-J39</x:f>
        <x:v>305.2</x:v>
      </x:c>
      <x:c r="M39" s="14" t="str">
        <x:v>No</x:v>
      </x:c>
      <x:c r="N39" s="14" t="str">
        <x:v>None</x:v>
      </x:c>
      <x:c r="O39" s="19" t="str">
        <x:v>Structural piece; loads follow the support chain.</x:v>
      </x:c>
    </x:row>
    <x:row r="40" ht="46" customHeight="1">
      <x:c r="A40" s="15" t="n">
        <x:v>32</x:v>
      </x:c>
      <x:c r="B40" s="15" t="str">
        <x:v>Military foundation</x:v>
      </x:c>
      <x:c r="C40" s="15" t="str">
        <x:v>Buildings</x:v>
      </x:c>
      <x:c r="D40" s="15" t="n">
        <x:v>5</x:v>
      </x:c>
      <x:c r="E40" s="15" t="str">
        <x:v>structure</x:v>
      </x:c>
      <x:c r="F40" s="16" t="n">
        <x:v>3</x:v>
      </x:c>
      <x:c r="G40" s="16" t="n">
        <x:v>0.5</x:v>
      </x:c>
      <x:c r="H40" s="16" t="n">
        <x:v>3</x:v>
      </x:c>
      <x:c r="I40" s="15" t="n">
        <x:v>700</x:v>
      </x:c>
      <x:c r="J40" s="16" t="n">
        <x:v>56</x:v>
      </x:c>
      <x:c r="K40" s="16" t="n">
        <x:v>2250</x:v>
      </x:c>
      <x:c r="L40" s="16" t="n">
        <x:f>K40-J40</x:f>
        <x:v>2194</x:v>
      </x:c>
      <x:c r="M40" s="15" t="str">
        <x:v>Yes</x:v>
      </x:c>
      <x:c r="N40" s="15" t="str">
        <x:v>None</x:v>
      </x:c>
      <x:c r="O40" s="18" t="str">
        <x:v>Structural piece; loads follow the support chain.</x:v>
      </x:c>
    </x:row>
    <x:row r="41" ht="46" customHeight="1">
      <x:c r="A41" s="14" t="n">
        <x:v>33</x:v>
      </x:c>
      <x:c r="B41" s="14" t="str">
        <x:v>Military floor</x:v>
      </x:c>
      <x:c r="C41" s="14" t="str">
        <x:v>Buildings</x:v>
      </x:c>
      <x:c r="D41" s="14" t="n">
        <x:v>5</x:v>
      </x:c>
      <x:c r="E41" s="14" t="str">
        <x:v>structure</x:v>
      </x:c>
      <x:c r="F41" s="17" t="n">
        <x:v>3</x:v>
      </x:c>
      <x:c r="G41" s="17" t="n">
        <x:v>0.2</x:v>
      </x:c>
      <x:c r="H41" s="17" t="n">
        <x:v>3</x:v>
      </x:c>
      <x:c r="I41" s="14" t="n">
        <x:v>700</x:v>
      </x:c>
      <x:c r="J41" s="17" t="n">
        <x:v>19.200000000000003</x:v>
      </x:c>
      <x:c r="K41" s="17" t="n">
        <x:v>412.5</x:v>
      </x:c>
      <x:c r="L41" s="17" t="n">
        <x:f>K41-J41</x:f>
        <x:v>393.3</x:v>
      </x:c>
      <x:c r="M41" s="14" t="str">
        <x:v>No</x:v>
      </x:c>
      <x:c r="N41" s="14" t="str">
        <x:v>None</x:v>
      </x:c>
      <x:c r="O41" s="19" t="str">
        <x:v>Structural piece; loads follow the support chain.</x:v>
      </x:c>
    </x:row>
    <x:row r="42" ht="46" customHeight="1">
      <x:c r="A42" s="15" t="n">
        <x:v>34</x:v>
      </x:c>
      <x:c r="B42" s="15" t="str">
        <x:v>Military wall</x:v>
      </x:c>
      <x:c r="C42" s="15" t="str">
        <x:v>Buildings</x:v>
      </x:c>
      <x:c r="D42" s="15" t="n">
        <x:v>5</x:v>
      </x:c>
      <x:c r="E42" s="15" t="str">
        <x:v>structure</x:v>
      </x:c>
      <x:c r="F42" s="16" t="n">
        <x:v>3</x:v>
      </x:c>
      <x:c r="G42" s="16" t="n">
        <x:v>2.5</x:v>
      </x:c>
      <x:c r="H42" s="16" t="n">
        <x:v>0.2</x:v>
      </x:c>
      <x:c r="I42" s="15" t="n">
        <x:v>700</x:v>
      </x:c>
      <x:c r="J42" s="16" t="n">
        <x:v>28.8</x:v>
      </x:c>
      <x:c r="K42" s="16" t="n">
        <x:v>825</x:v>
      </x:c>
      <x:c r="L42" s="16" t="n">
        <x:f>K42-J42</x:f>
        <x:v>796.2</x:v>
      </x:c>
      <x:c r="M42" s="15" t="str">
        <x:v>Yes</x:v>
      </x:c>
      <x:c r="N42" s="15" t="str">
        <x:v>None</x:v>
      </x:c>
      <x:c r="O42" s="18" t="str">
        <x:v>Structural piece; loads follow the support chain.</x:v>
      </x:c>
    </x:row>
    <x:row r="43" ht="46" customHeight="1">
      <x:c r="A43" s="14" t="n">
        <x:v>35</x:v>
      </x:c>
      <x:c r="B43" s="14" t="str">
        <x:v>Military half wall</x:v>
      </x:c>
      <x:c r="C43" s="14" t="str">
        <x:v>Buildings</x:v>
      </x:c>
      <x:c r="D43" s="14" t="n">
        <x:v>5</x:v>
      </x:c>
      <x:c r="E43" s="14" t="str">
        <x:v>structure</x:v>
      </x:c>
      <x:c r="F43" s="17" t="n">
        <x:v>3</x:v>
      </x:c>
      <x:c r="G43" s="17" t="n">
        <x:v>1.25</x:v>
      </x:c>
      <x:c r="H43" s="17" t="n">
        <x:v>0.2</x:v>
      </x:c>
      <x:c r="I43" s="14" t="n">
        <x:v>700</x:v>
      </x:c>
      <x:c r="J43" s="17" t="n">
        <x:v>16</x:v>
      </x:c>
      <x:c r="K43" s="17" t="n">
        <x:v>562.5</x:v>
      </x:c>
      <x:c r="L43" s="17" t="n">
        <x:f>K43-J43</x:f>
        <x:v>546.5</x:v>
      </x:c>
      <x:c r="M43" s="14" t="str">
        <x:v>Yes</x:v>
      </x:c>
      <x:c r="N43" s="14" t="str">
        <x:v>None</x:v>
      </x:c>
      <x:c r="O43" s="19" t="str">
        <x:v>Structural piece; loads follow the support chain.</x:v>
      </x:c>
    </x:row>
    <x:row r="44" ht="46" customHeight="1">
      <x:c r="A44" s="15" t="n">
        <x:v>36</x:v>
      </x:c>
      <x:c r="B44" s="15" t="str">
        <x:v>Military pillar</x:v>
      </x:c>
      <x:c r="C44" s="15" t="str">
        <x:v>Buildings</x:v>
      </x:c>
      <x:c r="D44" s="15" t="n">
        <x:v>5</x:v>
      </x:c>
      <x:c r="E44" s="15" t="str">
        <x:v>structure</x:v>
      </x:c>
      <x:c r="F44" s="16" t="n">
        <x:v>0.3</x:v>
      </x:c>
      <x:c r="G44" s="16" t="n">
        <x:v>2.5</x:v>
      </x:c>
      <x:c r="H44" s="16" t="n">
        <x:v>0.3</x:v>
      </x:c>
      <x:c r="I44" s="15" t="n">
        <x:v>700</x:v>
      </x:c>
      <x:c r="J44" s="16" t="n">
        <x:v>12.8</x:v>
      </x:c>
      <x:c r="K44" s="16" t="n">
        <x:v>975</x:v>
      </x:c>
      <x:c r="L44" s="16" t="n">
        <x:f>K44-J44</x:f>
        <x:v>962.2</x:v>
      </x:c>
      <x:c r="M44" s="15" t="str">
        <x:v>Yes</x:v>
      </x:c>
      <x:c r="N44" s="15" t="str">
        <x:v>None</x:v>
      </x:c>
      <x:c r="O44" s="18" t="str">
        <x:v>Structural piece; loads follow the support chain.</x:v>
      </x:c>
    </x:row>
    <x:row r="45" ht="46" customHeight="1">
      <x:c r="A45" s="14" t="n">
        <x:v>37</x:v>
      </x:c>
      <x:c r="B45" s="14" t="str">
        <x:v>Military beam</x:v>
      </x:c>
      <x:c r="C45" s="14" t="str">
        <x:v>Buildings</x:v>
      </x:c>
      <x:c r="D45" s="14" t="n">
        <x:v>5</x:v>
      </x:c>
      <x:c r="E45" s="14" t="str">
        <x:v>structure</x:v>
      </x:c>
      <x:c r="F45" s="17" t="n">
        <x:v>3</x:v>
      </x:c>
      <x:c r="G45" s="17" t="n">
        <x:v>0.3</x:v>
      </x:c>
      <x:c r="H45" s="17" t="n">
        <x:v>0.3</x:v>
      </x:c>
      <x:c r="I45" s="14" t="n">
        <x:v>700</x:v>
      </x:c>
      <x:c r="J45" s="17" t="n">
        <x:v>11.200000000000001</x:v>
      </x:c>
      <x:c r="K45" s="17" t="n">
        <x:v>600</x:v>
      </x:c>
      <x:c r="L45" s="17" t="n">
        <x:f>K45-J45</x:f>
        <x:v>588.8</x:v>
      </x:c>
      <x:c r="M45" s="14" t="str">
        <x:v>No</x:v>
      </x:c>
      <x:c r="N45" s="14" t="str">
        <x:v>None</x:v>
      </x:c>
      <x:c r="O45" s="19" t="str">
        <x:v>Structural piece; loads follow the support chain.</x:v>
      </x:c>
    </x:row>
    <x:row r="46" ht="46" customHeight="1">
      <x:c r="A46" s="15" t="n">
        <x:v>38</x:v>
      </x:c>
      <x:c r="B46" s="15" t="str">
        <x:v>Military stairs</x:v>
      </x:c>
      <x:c r="C46" s="15" t="str">
        <x:v>Buildings</x:v>
      </x:c>
      <x:c r="D46" s="15" t="n">
        <x:v>5</x:v>
      </x:c>
      <x:c r="E46" s="15" t="str">
        <x:v>structure</x:v>
      </x:c>
      <x:c r="F46" s="16" t="n">
        <x:v>3</x:v>
      </x:c>
      <x:c r="G46" s="16" t="n">
        <x:v>2.5</x:v>
      </x:c>
      <x:c r="H46" s="16" t="n">
        <x:v>3</x:v>
      </x:c>
      <x:c r="I46" s="15" t="n">
        <x:v>700</x:v>
      </x:c>
      <x:c r="J46" s="16" t="n">
        <x:v>38.400000000000006</x:v>
      </x:c>
      <x:c r="K46" s="16" t="n">
        <x:v>487.5</x:v>
      </x:c>
      <x:c r="L46" s="16" t="n">
        <x:f>K46-J46</x:f>
        <x:v>449.1</x:v>
      </x:c>
      <x:c r="M46" s="15" t="str">
        <x:v>No</x:v>
      </x:c>
      <x:c r="N46" s="15" t="str">
        <x:v>None</x:v>
      </x:c>
      <x:c r="O46" s="18" t="str">
        <x:v>Structural piece; loads follow the support chain.</x:v>
      </x:c>
    </x:row>
    <x:row r="47" ht="46" customHeight="1">
      <x:c r="A47" s="14" t="n">
        <x:v>39</x:v>
      </x:c>
      <x:c r="B47" s="14" t="str">
        <x:v>Military roof</x:v>
      </x:c>
      <x:c r="C47" s="14" t="str">
        <x:v>Buildings</x:v>
      </x:c>
      <x:c r="D47" s="14" t="n">
        <x:v>5</x:v>
      </x:c>
      <x:c r="E47" s="14" t="str">
        <x:v>structure</x:v>
      </x:c>
      <x:c r="F47" s="17" t="n">
        <x:v>3</x:v>
      </x:c>
      <x:c r="G47" s="17" t="n">
        <x:v>0.2</x:v>
      </x:c>
      <x:c r="H47" s="17" t="n">
        <x:v>3</x:v>
      </x:c>
      <x:c r="I47" s="14" t="n">
        <x:v>700</x:v>
      </x:c>
      <x:c r="J47" s="17" t="n">
        <x:v>16</x:v>
      </x:c>
      <x:c r="K47" s="17" t="n">
        <x:v>375</x:v>
      </x:c>
      <x:c r="L47" s="17" t="n">
        <x:f>K47-J47</x:f>
        <x:v>359</x:v>
      </x:c>
      <x:c r="M47" s="14" t="str">
        <x:v>No</x:v>
      </x:c>
      <x:c r="N47" s="14" t="str">
        <x:v>None</x:v>
      </x:c>
      <x:c r="O47" s="19" t="str">
        <x:v>Structural piece; loads follow the support chain.</x:v>
      </x:c>
    </x:row>
    <x:row r="48" ht="46" customHeight="1">
      <x:c r="A48" s="15" t="n">
        <x:v>40</x:v>
      </x:c>
      <x:c r="B48" s="15" t="str">
        <x:v>Timber door</x:v>
      </x:c>
      <x:c r="C48" s="15" t="str">
        <x:v>Buildings</x:v>
      </x:c>
      <x:c r="D48" s="15" t="n">
        <x:v>1</x:v>
      </x:c>
      <x:c r="E48" s="15" t="str">
        <x:v>door</x:v>
      </x:c>
      <x:c r="F48" s="16" t="n">
        <x:v>1.2</x:v>
      </x:c>
      <x:c r="G48" s="16" t="n">
        <x:v>2.5</x:v>
      </x:c>
      <x:c r="H48" s="16" t="n">
        <x:v>0.2</x:v>
      </x:c>
      <x:c r="I48" s="15" t="n">
        <x:v>100</x:v>
      </x:c>
      <x:c r="J48" s="16" t="n">
        <x:v>15</x:v>
      </x:c>
      <x:c r="K48" s="16" t="n">
        <x:v>180</x:v>
      </x:c>
      <x:c r="L48" s="16" t="n">
        <x:f>K48-J48</x:f>
        <x:v>165</x:v>
      </x:c>
      <x:c r="M48" s="15" t="str">
        <x:v>Yes</x:v>
      </x:c>
      <x:c r="N48" s="15" t="str">
        <x:v>None</x:v>
      </x:c>
      <x:c r="O48" s="18" t="str">
        <x:v>Legacy door/gate; F opens and closes.</x:v>
      </x:c>
    </x:row>
    <x:row r="49" ht="46" customHeight="1">
      <x:c r="A49" s="14" t="n">
        <x:v>41</x:v>
      </x:c>
      <x:c r="B49" s="14" t="str">
        <x:v>Storage chest</x:v>
      </x:c>
      <x:c r="C49" s="14" t="str">
        <x:v>Buildings</x:v>
      </x:c>
      <x:c r="D49" s="14" t="n">
        <x:v>1</x:v>
      </x:c>
      <x:c r="E49" s="14" t="str">
        <x:v>storage</x:v>
      </x:c>
      <x:c r="F49" s="17" t="n">
        <x:v>1.2</x:v>
      </x:c>
      <x:c r="G49" s="17" t="n">
        <x:v>0.8</x:v>
      </x:c>
      <x:c r="H49" s="17" t="n">
        <x:v>0.7</x:v>
      </x:c>
      <x:c r="I49" s="14" t="n">
        <x:v>100</x:v>
      </x:c>
      <x:c r="J49" s="17" t="n">
        <x:v>15</x:v>
      </x:c>
      <x:c r="K49" s="17" t="n">
        <x:v>180</x:v>
      </x:c>
      <x:c r="L49" s="17" t="n">
        <x:f>K49-J49</x:f>
        <x:v>165</x:v>
      </x:c>
      <x:c r="M49" s="14" t="str">
        <x:v>Yes</x:v>
      </x:c>
      <x:c r="N49" s="14" t="str">
        <x:v>None</x:v>
      </x:c>
      <x:c r="O49" s="19" t="str">
        <x:v>Shared stock: 200 per resource slot; 15 resource types. Food loses 1 portion / 30 active minutes.</x:v>
      </x:c>
    </x:row>
    <x:row r="50" ht="46" customHeight="1">
      <x:c r="A50" s="15" t="n">
        <x:v>42</x:v>
      </x:c>
      <x:c r="B50" s="15" t="str">
        <x:v>Stone-braced window wall</x:v>
      </x:c>
      <x:c r="C50" s="15" t="str">
        <x:v>Buildings</x:v>
      </x:c>
      <x:c r="D50" s="15" t="n">
        <x:v>2</x:v>
      </x:c>
      <x:c r="E50" s="15" t="str">
        <x:v>window</x:v>
      </x:c>
      <x:c r="F50" s="16" t="n">
        <x:v>3</x:v>
      </x:c>
      <x:c r="G50" s="16" t="n">
        <x:v>2.5</x:v>
      </x:c>
      <x:c r="H50" s="16" t="n">
        <x:v>0.2</x:v>
      </x:c>
      <x:c r="I50" s="15" t="n">
        <x:v>180</x:v>
      </x:c>
      <x:c r="J50" s="16" t="n">
        <x:v>18</x:v>
      </x:c>
      <x:c r="K50" s="16" t="n">
        <x:v>260</x:v>
      </x:c>
      <x:c r="L50" s="16" t="n">
        <x:f>K50-J50</x:f>
        <x:v>242</x:v>
      </x:c>
      <x:c r="M50" s="15" t="str">
        <x:v>Yes</x:v>
      </x:c>
      <x:c r="N50" s="15" t="str">
        <x:v>window</x:v>
      </x:c>
      <x:c r="O50" s="18" t="str">
        <x:v>Open firing aperture with a solid sill/frame; supports roof; advanced tiers add a mullion.</x:v>
      </x:c>
    </x:row>
    <x:row r="51" ht="46" customHeight="1">
      <x:c r="A51" s="14" t="n">
        <x:v>43</x:v>
      </x:c>
      <x:c r="B51" s="14" t="str">
        <x:v>Timber gate</x:v>
      </x:c>
      <x:c r="C51" s="14" t="str">
        <x:v>Buildings</x:v>
      </x:c>
      <x:c r="D51" s="14" t="n">
        <x:v>2</x:v>
      </x:c>
      <x:c r="E51" s="14" t="str">
        <x:v>door</x:v>
      </x:c>
      <x:c r="F51" s="17" t="n">
        <x:v>3</x:v>
      </x:c>
      <x:c r="G51" s="17" t="n">
        <x:v>2.5</x:v>
      </x:c>
      <x:c r="H51" s="17" t="n">
        <x:v>0.25</x:v>
      </x:c>
      <x:c r="I51" s="14" t="n">
        <x:v>180</x:v>
      </x:c>
      <x:c r="J51" s="17" t="n">
        <x:v>18</x:v>
      </x:c>
      <x:c r="K51" s="17" t="n">
        <x:v>260</x:v>
      </x:c>
      <x:c r="L51" s="17" t="n">
        <x:f>K51-J51</x:f>
        <x:v>242</x:v>
      </x:c>
      <x:c r="M51" s="14" t="str">
        <x:v>Yes</x:v>
      </x:c>
      <x:c r="N51" s="14" t="str">
        <x:v>None</x:v>
      </x:c>
      <x:c r="O51" s="19" t="str">
        <x:v>Legacy door/gate; F opens and closes.</x:v>
      </x:c>
    </x:row>
    <x:row r="52" ht="46" customHeight="1">
      <x:c r="A52" s="15" t="n">
        <x:v>44</x:v>
      </x:c>
      <x:c r="B52" s="15" t="str">
        <x:v>Large storage locker</x:v>
      </x:c>
      <x:c r="C52" s="15" t="str">
        <x:v>Buildings</x:v>
      </x:c>
      <x:c r="D52" s="15" t="n">
        <x:v>2</x:v>
      </x:c>
      <x:c r="E52" s="15" t="str">
        <x:v>storage</x:v>
      </x:c>
      <x:c r="F52" s="16" t="n">
        <x:v>1.5</x:v>
      </x:c>
      <x:c r="G52" s="16" t="n">
        <x:v>1.8</x:v>
      </x:c>
      <x:c r="H52" s="16" t="n">
        <x:v>0.7</x:v>
      </x:c>
      <x:c r="I52" s="15" t="n">
        <x:v>180</x:v>
      </x:c>
      <x:c r="J52" s="16" t="n">
        <x:v>18</x:v>
      </x:c>
      <x:c r="K52" s="16" t="n">
        <x:v>260</x:v>
      </x:c>
      <x:c r="L52" s="16" t="n">
        <x:f>K52-J52</x:f>
        <x:v>242</x:v>
      </x:c>
      <x:c r="M52" s="15" t="str">
        <x:v>Yes</x:v>
      </x:c>
      <x:c r="N52" s="15" t="str">
        <x:v>None</x:v>
      </x:c>
      <x:c r="O52" s="18" t="str">
        <x:v>Shared stock: 400 per resource slot; 15 resource types. Food loses 1 portion / 30 active minutes.</x:v>
      </x:c>
    </x:row>
    <x:row r="53" ht="46" customHeight="1">
      <x:c r="A53" s="14" t="n">
        <x:v>45</x:v>
      </x:c>
      <x:c r="B53" s="14" t="str">
        <x:v>Vehicle repair station</x:v>
      </x:c>
      <x:c r="C53" s="14" t="str">
        <x:v>Buildings</x:v>
      </x:c>
      <x:c r="D53" s="14" t="n">
        <x:v>3</x:v>
      </x:c>
      <x:c r="E53" s="14" t="str">
        <x:v>repair</x:v>
      </x:c>
      <x:c r="F53" s="17" t="n">
        <x:v>2</x:v>
      </x:c>
      <x:c r="G53" s="17" t="n">
        <x:v>1.3</x:v>
      </x:c>
      <x:c r="H53" s="17" t="n">
        <x:v>1.2</x:v>
      </x:c>
      <x:c r="I53" s="14" t="n">
        <x:v>300</x:v>
      </x:c>
      <x:c r="J53" s="17" t="n">
        <x:v>21</x:v>
      </x:c>
      <x:c r="K53" s="17" t="n">
        <x:v>340</x:v>
      </x:c>
      <x:c r="L53" s="17" t="n">
        <x:f>K53-J53</x:f>
        <x:v>319</x:v>
      </x:c>
      <x:c r="M53" s="14" t="str">
        <x:v>Yes</x:v>
      </x:c>
      <x:c r="N53" s="14" t="str">
        <x:v>None</x:v>
      </x:c>
      <x:c r="O53" s="19" t="str">
        <x:v>3 alloy repairs vehicles/mobile structures within 12m; 2 timber repairs this station.</x:v>
      </x:c>
    </x:row>
    <x:row r="54" ht="46" customHeight="1">
      <x:c r="A54" s="15" t="n">
        <x:v>46</x:v>
      </x:c>
      <x:c r="B54" s="15" t="str">
        <x:v>Garage gate</x:v>
      </x:c>
      <x:c r="C54" s="15" t="str">
        <x:v>Buildings</x:v>
      </x:c>
      <x:c r="D54" s="15" t="n">
        <x:v>3</x:v>
      </x:c>
      <x:c r="E54" s="15" t="str">
        <x:v>door</x:v>
      </x:c>
      <x:c r="F54" s="16" t="n">
        <x:v>4</x:v>
      </x:c>
      <x:c r="G54" s="16" t="n">
        <x:v>3</x:v>
      </x:c>
      <x:c r="H54" s="16" t="n">
        <x:v>0.3</x:v>
      </x:c>
      <x:c r="I54" s="15" t="n">
        <x:v>300</x:v>
      </x:c>
      <x:c r="J54" s="16" t="n">
        <x:v>21</x:v>
      </x:c>
      <x:c r="K54" s="16" t="n">
        <x:v>340</x:v>
      </x:c>
      <x:c r="L54" s="16" t="n">
        <x:f>K54-J54</x:f>
        <x:v>319</x:v>
      </x:c>
      <x:c r="M54" s="15" t="str">
        <x:v>Yes</x:v>
      </x:c>
      <x:c r="N54" s="15" t="str">
        <x:v>None</x:v>
      </x:c>
      <x:c r="O54" s="18" t="str">
        <x:v>Legacy door/gate; F opens and closes.</x:v>
      </x:c>
    </x:row>
    <x:row r="55" ht="46" customHeight="1">
      <x:c r="A55" s="14" t="n">
        <x:v>47</x:v>
      </x:c>
      <x:c r="B55" s="14" t="str">
        <x:v>Mobile camp trailer</x:v>
      </x:c>
      <x:c r="C55" s="14" t="str">
        <x:v>Buildings</x:v>
      </x:c>
      <x:c r="D55" s="14" t="n">
        <x:v>3</x:v>
      </x:c>
      <x:c r="E55" s="14" t="str">
        <x:v>mobile</x:v>
      </x:c>
      <x:c r="F55" s="17" t="n">
        <x:v>2</x:v>
      </x:c>
      <x:c r="G55" s="17" t="n">
        <x:v>2</x:v>
      </x:c>
      <x:c r="H55" s="17" t="n">
        <x:v>3</x:v>
      </x:c>
      <x:c r="I55" s="14" t="n">
        <x:v>300</x:v>
      </x:c>
      <x:c r="J55" s="17" t="n">
        <x:v>21</x:v>
      </x:c>
      <x:c r="K55" s="17" t="n">
        <x:v>340</x:v>
      </x:c>
      <x:c r="L55" s="17" t="n">
        <x:f>K55-J55</x:f>
        <x:v>319</x:v>
      </x:c>
      <x:c r="M55" s="14" t="str">
        <x:v>Yes</x:v>
      </x:c>
      <x:c r="N55" s="14" t="str">
        <x:v>None</x:v>
      </x:c>
      <x:c r="O55" s="19" t="str">
        <x:v>Existing trailer: drive, cargo and conditional rest. Further mobile-base development is deferred.</x:v>
      </x:c>
    </x:row>
    <x:row r="56" ht="46" customHeight="1">
      <x:c r="A56" s="15" t="n">
        <x:v>48</x:v>
      </x:c>
      <x:c r="B56" s="15" t="str">
        <x:v>Generator</x:v>
      </x:c>
      <x:c r="C56" s="15" t="str">
        <x:v>Buildings</x:v>
      </x:c>
      <x:c r="D56" s="15" t="n">
        <x:v>4</x:v>
      </x:c>
      <x:c r="E56" s="15" t="str">
        <x:v>power</x:v>
      </x:c>
      <x:c r="F56" s="16" t="n">
        <x:v>1.5</x:v>
      </x:c>
      <x:c r="G56" s="16" t="n">
        <x:v>1.2</x:v>
      </x:c>
      <x:c r="H56" s="16" t="n">
        <x:v>1</x:v>
      </x:c>
      <x:c r="I56" s="15" t="n">
        <x:v>460</x:v>
      </x:c>
      <x:c r="J56" s="16" t="n">
        <x:v>24</x:v>
      </x:c>
      <x:c r="K56" s="16" t="n">
        <x:v>420</x:v>
      </x:c>
      <x:c r="L56" s="16" t="n">
        <x:f>K56-J56</x:f>
        <x:v>396</x:v>
      </x:c>
      <x:c r="M56" s="15" t="str">
        <x:v>Yes</x:v>
      </x:c>
      <x:c r="N56" s="15" t="str">
        <x:v>None</x:v>
      </x:c>
      <x:c r="O56" s="18" t="str">
        <x:v>5 fiber + 1 resin gives 600s power; radius 24m.</x:v>
      </x:c>
    </x:row>
    <x:row r="57" ht="46" customHeight="1">
      <x:c r="A57" s="14" t="n">
        <x:v>49</x:v>
      </x:c>
      <x:c r="B57" s="14" t="str">
        <x:v>Powered door</x:v>
      </x:c>
      <x:c r="C57" s="14" t="str">
        <x:v>Buildings</x:v>
      </x:c>
      <x:c r="D57" s="14" t="n">
        <x:v>4</x:v>
      </x:c>
      <x:c r="E57" s="14" t="str">
        <x:v>door</x:v>
      </x:c>
      <x:c r="F57" s="17" t="n">
        <x:v>1.2</x:v>
      </x:c>
      <x:c r="G57" s="17" t="n">
        <x:v>2.5</x:v>
      </x:c>
      <x:c r="H57" s="17" t="n">
        <x:v>0.25</x:v>
      </x:c>
      <x:c r="I57" s="14" t="n">
        <x:v>460</x:v>
      </x:c>
      <x:c r="J57" s="17" t="n">
        <x:v>24</x:v>
      </x:c>
      <x:c r="K57" s="17" t="n">
        <x:v>420</x:v>
      </x:c>
      <x:c r="L57" s="17" t="n">
        <x:f>K57-J57</x:f>
        <x:v>396</x:v>
      </x:c>
      <x:c r="M57" s="14" t="str">
        <x:v>Yes</x:v>
      </x:c>
      <x:c r="N57" s="14" t="str">
        <x:v>None</x:v>
      </x:c>
      <x:c r="O57" s="19" t="str">
        <x:v>Legacy door/gate; requires generator within 24m to operate.</x:v>
      </x:c>
    </x:row>
    <x:row r="58" ht="46" customHeight="1">
      <x:c r="A58" s="15" t="n">
        <x:v>50</x:v>
      </x:c>
      <x:c r="B58" s="15" t="str">
        <x:v>Electric lamp</x:v>
      </x:c>
      <x:c r="C58" s="15" t="str">
        <x:v>Buildings</x:v>
      </x:c>
      <x:c r="D58" s="15" t="n">
        <x:v>4</x:v>
      </x:c>
      <x:c r="E58" s="15" t="str">
        <x:v>light</x:v>
      </x:c>
      <x:c r="F58" s="16" t="n">
        <x:v>0.5</x:v>
      </x:c>
      <x:c r="G58" s="16" t="n">
        <x:v>2.4</x:v>
      </x:c>
      <x:c r="H58" s="16" t="n">
        <x:v>0.5</x:v>
      </x:c>
      <x:c r="I58" s="15" t="n">
        <x:v>460</x:v>
      </x:c>
      <x:c r="J58" s="16" t="n">
        <x:v>24</x:v>
      </x:c>
      <x:c r="K58" s="16" t="n">
        <x:v>420</x:v>
      </x:c>
      <x:c r="L58" s="16" t="n">
        <x:f>K58-J58</x:f>
        <x:v>396</x:v>
      </x:c>
      <x:c r="M58" s="15" t="str">
        <x:v>Yes</x:v>
      </x:c>
      <x:c r="N58" s="15" t="str">
        <x:v>None</x:v>
      </x:c>
      <x:c r="O58" s="18" t="str">
        <x:v>Base lighting fixture; no direct attack damage.</x:v>
      </x:c>
    </x:row>
    <x:row r="59" ht="46" customHeight="1">
      <x:c r="A59" s="14" t="n">
        <x:v>51</x:v>
      </x:c>
      <x:c r="B59" s="14" t="str">
        <x:v>Fortified powered gate</x:v>
      </x:c>
      <x:c r="C59" s="14" t="str">
        <x:v>Buildings</x:v>
      </x:c>
      <x:c r="D59" s="14" t="n">
        <x:v>5</x:v>
      </x:c>
      <x:c r="E59" s="14" t="str">
        <x:v>door</x:v>
      </x:c>
      <x:c r="F59" s="17" t="n">
        <x:v>3</x:v>
      </x:c>
      <x:c r="G59" s="17" t="n">
        <x:v>2.5</x:v>
      </x:c>
      <x:c r="H59" s="17" t="n">
        <x:v>0.4</x:v>
      </x:c>
      <x:c r="I59" s="14" t="n">
        <x:v>700</x:v>
      </x:c>
      <x:c r="J59" s="17" t="n">
        <x:v>27</x:v>
      </x:c>
      <x:c r="K59" s="17" t="n">
        <x:v>500</x:v>
      </x:c>
      <x:c r="L59" s="17" t="n">
        <x:f>K59-J59</x:f>
        <x:v>473</x:v>
      </x:c>
      <x:c r="M59" s="14" t="str">
        <x:v>Yes</x:v>
      </x:c>
      <x:c r="N59" s="14" t="str">
        <x:v>None</x:v>
      </x:c>
      <x:c r="O59" s="19" t="str">
        <x:v>Legacy door/gate; requires generator within 24m to operate.</x:v>
      </x:c>
    </x:row>
    <x:row r="60" ht="46" customHeight="1">
      <x:c r="A60" s="15" t="n">
        <x:v>52</x:v>
      </x:c>
      <x:c r="B60" s="15" t="str">
        <x:v>Heavy structural support</x:v>
      </x:c>
      <x:c r="C60" s="15" t="str">
        <x:v>Buildings</x:v>
      </x:c>
      <x:c r="D60" s="15" t="n">
        <x:v>5</x:v>
      </x:c>
      <x:c r="E60" s="15" t="str">
        <x:v>support</x:v>
      </x:c>
      <x:c r="F60" s="16" t="n">
        <x:v>0.5</x:v>
      </x:c>
      <x:c r="G60" s="16" t="n">
        <x:v>4</x:v>
      </x:c>
      <x:c r="H60" s="16" t="n">
        <x:v>0.5</x:v>
      </x:c>
      <x:c r="I60" s="15" t="n">
        <x:v>700</x:v>
      </x:c>
      <x:c r="J60" s="16" t="n">
        <x:v>27</x:v>
      </x:c>
      <x:c r="K60" s="16" t="n">
        <x:v>500</x:v>
      </x:c>
      <x:c r="L60" s="16" t="n">
        <x:f>K60-J60</x:f>
        <x:v>473</x:v>
      </x:c>
      <x:c r="M60" s="15" t="str">
        <x:v>Yes</x:v>
      </x:c>
      <x:c r="N60" s="15" t="str">
        <x:v>None</x:v>
      </x:c>
      <x:c r="O60" s="18" t="str">
        <x:v>Heavy load-bearing support; capacity still follows ordinary support rules.</x:v>
      </x:c>
    </x:row>
    <x:row r="61" ht="46" customHeight="1">
      <x:c r="A61" s="14" t="n">
        <x:v>53</x:v>
      </x:c>
      <x:c r="B61" s="14" t="str">
        <x:v>Expedition rover</x:v>
      </x:c>
      <x:c r="C61" s="14" t="str">
        <x:v>Buildings</x:v>
      </x:c>
      <x:c r="D61" s="14" t="n">
        <x:v>5</x:v>
      </x:c>
      <x:c r="E61" s="14" t="str">
        <x:v>vehicle</x:v>
      </x:c>
      <x:c r="F61" s="17" t="n">
        <x:v>2.1</x:v>
      </x:c>
      <x:c r="G61" s="17" t="n">
        <x:v>1.7</x:v>
      </x:c>
      <x:c r="H61" s="17" t="n">
        <x:v>3.5</x:v>
      </x:c>
      <x:c r="I61" s="14" t="n">
        <x:v>700</x:v>
      </x:c>
      <x:c r="J61" s="17" t="n">
        <x:v>27</x:v>
      </x:c>
      <x:c r="K61" s="17" t="n">
        <x:v>500</x:v>
      </x:c>
      <x:c r="L61" s="17" t="n">
        <x:f>K61-J61</x:f>
        <x:v>473</x:v>
      </x:c>
      <x:c r="M61" s="14" t="str">
        <x:v>Yes</x:v>
      </x:c>
      <x:c r="N61" s="14" t="str">
        <x:v>None</x:v>
      </x:c>
      <x:c r="O61" s="19" t="str">
        <x:v>Existing rover: enter driver seat with F; WASD movement and material cargo. Vehicle development is deferred.</x:v>
      </x:c>
    </x:row>
    <x:row r="62" ht="46" customHeight="1">
      <x:c r="A62" s="15" t="n">
        <x:v>54</x:v>
      </x:c>
      <x:c r="B62" s="15" t="str">
        <x:v>Wood barricade</x:v>
      </x:c>
      <x:c r="C62" s="15" t="str">
        <x:v>Defenses</x:v>
      </x:c>
      <x:c r="D62" s="15" t="n">
        <x:v>1</x:v>
      </x:c>
      <x:c r="E62" s="15" t="str">
        <x:v>barrier</x:v>
      </x:c>
      <x:c r="F62" s="16" t="n">
        <x:v>3</x:v>
      </x:c>
      <x:c r="G62" s="16" t="n">
        <x:v>1.4</x:v>
      </x:c>
      <x:c r="H62" s="16" t="n">
        <x:v>0.5</x:v>
      </x:c>
      <x:c r="I62" s="15" t="n">
        <x:v>100</x:v>
      </x:c>
      <x:c r="J62" s="16" t="n">
        <x:v>15</x:v>
      </x:c>
      <x:c r="K62" s="16" t="n">
        <x:v>180</x:v>
      </x:c>
      <x:c r="L62" s="16" t="n">
        <x:f>K62-J62</x:f>
        <x:v>165</x:v>
      </x:c>
      <x:c r="M62" s="15" t="str">
        <x:v>Yes</x:v>
      </x:c>
      <x:c r="N62" s="15" t="str">
        <x:v>None</x:v>
      </x:c>
      <x:c r="O62" s="18" t="str">
        <x:v>Physical perimeter obstacle; does not deal passive damage.</x:v>
      </x:c>
    </x:row>
    <x:row r="63" ht="46" customHeight="1">
      <x:c r="A63" s="14" t="n">
        <x:v>55</x:v>
      </x:c>
      <x:c r="B63" s="14" t="str">
        <x:v>Wood spike trap</x:v>
      </x:c>
      <x:c r="C63" s="14" t="str">
        <x:v>Defenses</x:v>
      </x:c>
      <x:c r="D63" s="14" t="n">
        <x:v>1</x:v>
      </x:c>
      <x:c r="E63" s="14" t="str">
        <x:v>spikes</x:v>
      </x:c>
      <x:c r="F63" s="17" t="n">
        <x:v>2</x:v>
      </x:c>
      <x:c r="G63" s="17" t="n">
        <x:v>0.6</x:v>
      </x:c>
      <x:c r="H63" s="17" t="n">
        <x:v>2</x:v>
      </x:c>
      <x:c r="I63" s="14" t="n">
        <x:v>100</x:v>
      </x:c>
      <x:c r="J63" s="17" t="n">
        <x:v>15</x:v>
      </x:c>
      <x:c r="K63" s="17" t="n">
        <x:v>180</x:v>
      </x:c>
      <x:c r="L63" s="17" t="n">
        <x:f>K63-J63</x:f>
        <x:v>165</x:v>
      </x:c>
      <x:c r="M63" s="14" t="str">
        <x:v>Yes</x:v>
      </x:c>
      <x:c r="N63" s="14" t="str">
        <x:v>None</x:v>
      </x:c>
      <x:c r="O63" s="19" t="str">
        <x:v>8 damage / 1s check, up to 3 nearby hostile targets; no generator required.</x:v>
      </x:c>
    </x:row>
    <x:row r="64" ht="46" customHeight="1">
      <x:c r="A64" s="15" t="n">
        <x:v>56</x:v>
      </x:c>
      <x:c r="B64" s="15" t="str">
        <x:v>Fence section</x:v>
      </x:c>
      <x:c r="C64" s="15" t="str">
        <x:v>Defenses</x:v>
      </x:c>
      <x:c r="D64" s="15" t="n">
        <x:v>1</x:v>
      </x:c>
      <x:c r="E64" s="15" t="str">
        <x:v>fence</x:v>
      </x:c>
      <x:c r="F64" s="16" t="n">
        <x:v>3</x:v>
      </x:c>
      <x:c r="G64" s="16" t="n">
        <x:v>1.5</x:v>
      </x:c>
      <x:c r="H64" s="16" t="n">
        <x:v>0.2</x:v>
      </x:c>
      <x:c r="I64" s="15" t="n">
        <x:v>100</x:v>
      </x:c>
      <x:c r="J64" s="16" t="n">
        <x:v>15</x:v>
      </x:c>
      <x:c r="K64" s="16" t="n">
        <x:v>180</x:v>
      </x:c>
      <x:c r="L64" s="16" t="n">
        <x:f>K64-J64</x:f>
        <x:v>165</x:v>
      </x:c>
      <x:c r="M64" s="15" t="str">
        <x:v>Yes</x:v>
      </x:c>
      <x:c r="N64" s="15" t="str">
        <x:v>None</x:v>
      </x:c>
      <x:c r="O64" s="18" t="str">
        <x:v>Physical perimeter obstacle; does not deal passive damage.</x:v>
      </x:c>
    </x:row>
    <x:row r="65" ht="46" customHeight="1">
      <x:c r="A65" s="14" t="n">
        <x:v>57</x:v>
      </x:c>
      <x:c r="B65" s="14" t="str">
        <x:v>Watch platform</x:v>
      </x:c>
      <x:c r="C65" s="14" t="str">
        <x:v>Defenses</x:v>
      </x:c>
      <x:c r="D65" s="14" t="n">
        <x:v>2</x:v>
      </x:c>
      <x:c r="E65" s="14" t="str">
        <x:v>platform</x:v>
      </x:c>
      <x:c r="F65" s="17" t="n">
        <x:v>3</x:v>
      </x:c>
      <x:c r="G65" s="17" t="n">
        <x:v>2.5</x:v>
      </x:c>
      <x:c r="H65" s="17" t="n">
        <x:v>3</x:v>
      </x:c>
      <x:c r="I65" s="14" t="n">
        <x:v>180</x:v>
      </x:c>
      <x:c r="J65" s="17" t="n">
        <x:v>18</x:v>
      </x:c>
      <x:c r="K65" s="17" t="n">
        <x:v>260</x:v>
      </x:c>
      <x:c r="L65" s="17" t="n">
        <x:f>K65-J65</x:f>
        <x:v>242</x:v>
      </x:c>
      <x:c r="M65" s="14" t="str">
        <x:v>Yes</x:v>
      </x:c>
      <x:c r="N65" s="14" t="str">
        <x:v>None</x:v>
      </x:c>
      <x:c r="O65" s="19" t="str">
        <x:v>Elevated defensive deck with collision and ladder rungs.</x:v>
      </x:c>
    </x:row>
    <x:row r="66" ht="46" customHeight="1">
      <x:c r="A66" s="15" t="n">
        <x:v>58</x:v>
      </x:c>
      <x:c r="B66" s="15" t="str">
        <x:v>Snare trap</x:v>
      </x:c>
      <x:c r="C66" s="15" t="str">
        <x:v>Defenses</x:v>
      </x:c>
      <x:c r="D66" s="15" t="n">
        <x:v>2</x:v>
      </x:c>
      <x:c r="E66" s="15" t="str">
        <x:v>trap</x:v>
      </x:c>
      <x:c r="F66" s="16" t="n">
        <x:v>1</x:v>
      </x:c>
      <x:c r="G66" s="16" t="n">
        <x:v>0.25</x:v>
      </x:c>
      <x:c r="H66" s="16" t="n">
        <x:v>1</x:v>
      </x:c>
      <x:c r="I66" s="15" t="n">
        <x:v>180</x:v>
      </x:c>
      <x:c r="J66" s="16" t="n">
        <x:v>18</x:v>
      </x:c>
      <x:c r="K66" s="16" t="n">
        <x:v>260</x:v>
      </x:c>
      <x:c r="L66" s="16" t="n">
        <x:f>K66-J66</x:f>
        <x:v>242</x:v>
      </x:c>
      <x:c r="M66" s="15" t="str">
        <x:v>Yes</x:v>
      </x:c>
      <x:c r="N66" s="15" t="str">
        <x:v>None</x:v>
      </x:c>
      <x:c r="O66" s="18" t="str">
        <x:v>16 damage when triggered; arm with 1 fiber; one target per arming.</x:v>
      </x:c>
    </x:row>
    <x:row r="67" ht="46" customHeight="1">
      <x:c r="A67" s="14" t="n">
        <x:v>59</x:v>
      </x:c>
      <x:c r="B67" s="14" t="str">
        <x:v>Reinforced gate</x:v>
      </x:c>
      <x:c r="C67" s="14" t="str">
        <x:v>Defenses</x:v>
      </x:c>
      <x:c r="D67" s="14" t="n">
        <x:v>2</x:v>
      </x:c>
      <x:c r="E67" s="14" t="str">
        <x:v>door</x:v>
      </x:c>
      <x:c r="F67" s="17" t="n">
        <x:v>3</x:v>
      </x:c>
      <x:c r="G67" s="17" t="n">
        <x:v>2.5</x:v>
      </x:c>
      <x:c r="H67" s="17" t="n">
        <x:v>0.3</x:v>
      </x:c>
      <x:c r="I67" s="14" t="n">
        <x:v>180</x:v>
      </x:c>
      <x:c r="J67" s="17" t="n">
        <x:v>18</x:v>
      </x:c>
      <x:c r="K67" s="17" t="n">
        <x:v>260</x:v>
      </x:c>
      <x:c r="L67" s="17" t="n">
        <x:f>K67-J67</x:f>
        <x:v>242</x:v>
      </x:c>
      <x:c r="M67" s="14" t="str">
        <x:v>Yes</x:v>
      </x:c>
      <x:c r="N67" s="14" t="str">
        <x:v>None</x:v>
      </x:c>
      <x:c r="O67" s="19" t="str">
        <x:v>Legacy door/gate; F opens and closes.</x:v>
      </x:c>
    </x:row>
    <x:row r="68" ht="46" customHeight="1">
      <x:c r="A68" s="15" t="n">
        <x:v>60</x:v>
      </x:c>
      <x:c r="B68" s="15" t="str">
        <x:v>Scrap barrier</x:v>
      </x:c>
      <x:c r="C68" s="15" t="str">
        <x:v>Defenses</x:v>
      </x:c>
      <x:c r="D68" s="15" t="n">
        <x:v>3</x:v>
      </x:c>
      <x:c r="E68" s="15" t="str">
        <x:v>barrier</x:v>
      </x:c>
      <x:c r="F68" s="16" t="n">
        <x:v>3</x:v>
      </x:c>
      <x:c r="G68" s="16" t="n">
        <x:v>1.5</x:v>
      </x:c>
      <x:c r="H68" s="16" t="n">
        <x:v>0.5</x:v>
      </x:c>
      <x:c r="I68" s="15" t="n">
        <x:v>300</x:v>
      </x:c>
      <x:c r="J68" s="16" t="n">
        <x:v>21</x:v>
      </x:c>
      <x:c r="K68" s="16" t="n">
        <x:v>340</x:v>
      </x:c>
      <x:c r="L68" s="16" t="n">
        <x:f>K68-J68</x:f>
        <x:v>319</x:v>
      </x:c>
      <x:c r="M68" s="15" t="str">
        <x:v>Yes</x:v>
      </x:c>
      <x:c r="N68" s="15" t="str">
        <x:v>None</x:v>
      </x:c>
      <x:c r="O68" s="18" t="str">
        <x:v>Physical perimeter obstacle; does not deal passive damage.</x:v>
      </x:c>
    </x:row>
    <x:row r="69" ht="46" customHeight="1">
      <x:c r="A69" s="14" t="n">
        <x:v>61</x:v>
      </x:c>
      <x:c r="B69" s="14" t="str">
        <x:v>Noise lure</x:v>
      </x:c>
      <x:c r="C69" s="14" t="str">
        <x:v>Defenses</x:v>
      </x:c>
      <x:c r="D69" s="14" t="n">
        <x:v>3</x:v>
      </x:c>
      <x:c r="E69" s="14" t="str">
        <x:v>lure</x:v>
      </x:c>
      <x:c r="F69" s="17" t="n">
        <x:v>0.8</x:v>
      </x:c>
      <x:c r="G69" s="17" t="n">
        <x:v>1.2</x:v>
      </x:c>
      <x:c r="H69" s="17" t="n">
        <x:v>0.8</x:v>
      </x:c>
      <x:c r="I69" s="14" t="n">
        <x:v>300</x:v>
      </x:c>
      <x:c r="J69" s="17" t="n">
        <x:v>21</x:v>
      </x:c>
      <x:c r="K69" s="17" t="n">
        <x:v>340</x:v>
      </x:c>
      <x:c r="L69" s="17" t="n">
        <x:f>K69-J69</x:f>
        <x:v>319</x:v>
      </x:c>
      <x:c r="M69" s="14" t="str">
        <x:v>Yes</x:v>
      </x:c>
      <x:c r="N69" s="14" t="str">
        <x:v>None</x:v>
      </x:c>
      <x:c r="O69" s="19" t="str">
        <x:v>1 electronic activates 60s lure; draws hostile enemies within 45m.</x:v>
      </x:c>
    </x:row>
    <x:row r="70" ht="46" customHeight="1">
      <x:c r="A70" s="15" t="n">
        <x:v>62</x:v>
      </x:c>
      <x:c r="B70" s="15" t="str">
        <x:v>Mounted machine gun</x:v>
      </x:c>
      <x:c r="C70" s="15" t="str">
        <x:v>Defenses</x:v>
      </x:c>
      <x:c r="D70" s="15" t="n">
        <x:v>3</x:v>
      </x:c>
      <x:c r="E70" s="15" t="str">
        <x:v>turret</x:v>
      </x:c>
      <x:c r="F70" s="16" t="n">
        <x:v>1</x:v>
      </x:c>
      <x:c r="G70" s="16" t="n">
        <x:v>1.5</x:v>
      </x:c>
      <x:c r="H70" s="16" t="n">
        <x:v>1</x:v>
      </x:c>
      <x:c r="I70" s="15" t="n">
        <x:v>300</x:v>
      </x:c>
      <x:c r="J70" s="16" t="n">
        <x:v>21</x:v>
      </x:c>
      <x:c r="K70" s="16" t="n">
        <x:v>340</x:v>
      </x:c>
      <x:c r="L70" s="16" t="n">
        <x:f>K70-J70</x:f>
        <x:v>319</x:v>
      </x:c>
      <x:c r="M70" s="15" t="str">
        <x:v>Yes</x:v>
      </x:c>
      <x:c r="N70" s="15" t="str">
        <x:v>None</x:v>
      </x:c>
      <x:c r="O70" s="18" t="str">
        <x:v>105 damage / 1s check, one visible target within 24m; uses 1 pistol round. No generator required.</x:v>
      </x:c>
    </x:row>
    <x:row r="71" ht="46" customHeight="1">
      <x:c r="A71" s="14" t="n">
        <x:v>63</x:v>
      </x:c>
      <x:c r="B71" s="14" t="str">
        <x:v>Electric fence</x:v>
      </x:c>
      <x:c r="C71" s="14" t="str">
        <x:v>Defenses</x:v>
      </x:c>
      <x:c r="D71" s="14" t="n">
        <x:v>4</x:v>
      </x:c>
      <x:c r="E71" s="14" t="str">
        <x:v>electric</x:v>
      </x:c>
      <x:c r="F71" s="17" t="n">
        <x:v>3</x:v>
      </x:c>
      <x:c r="G71" s="17" t="n">
        <x:v>1.5</x:v>
      </x:c>
      <x:c r="H71" s="17" t="n">
        <x:v>0.2</x:v>
      </x:c>
      <x:c r="I71" s="14" t="n">
        <x:v>460</x:v>
      </x:c>
      <x:c r="J71" s="17" t="n">
        <x:v>24</x:v>
      </x:c>
      <x:c r="K71" s="17" t="n">
        <x:v>420</x:v>
      </x:c>
      <x:c r="L71" s="17" t="n">
        <x:f>K71-J71</x:f>
        <x:v>396</x:v>
      </x:c>
      <x:c r="M71" s="14" t="str">
        <x:v>Yes</x:v>
      </x:c>
      <x:c r="N71" s="14" t="str">
        <x:v>None</x:v>
      </x:c>
      <x:c r="O71" s="19" t="str">
        <x:v>32 damage / 1s check, up to 3 nearby hostile targets; requires power.</x:v>
      </x:c>
    </x:row>
    <x:row r="72" ht="46" customHeight="1">
      <x:c r="A72" s="15" t="n">
        <x:v>64</x:v>
      </x:c>
      <x:c r="B72" s="15" t="str">
        <x:v>Perimeter alarm</x:v>
      </x:c>
      <x:c r="C72" s="15" t="str">
        <x:v>Defenses</x:v>
      </x:c>
      <x:c r="D72" s="15" t="n">
        <x:v>4</x:v>
      </x:c>
      <x:c r="E72" s="15" t="str">
        <x:v>alarm</x:v>
      </x:c>
      <x:c r="F72" s="16" t="n">
        <x:v>0.6</x:v>
      </x:c>
      <x:c r="G72" s="16" t="n">
        <x:v>1.8</x:v>
      </x:c>
      <x:c r="H72" s="16" t="n">
        <x:v>0.6</x:v>
      </x:c>
      <x:c r="I72" s="15" t="n">
        <x:v>460</x:v>
      </x:c>
      <x:c r="J72" s="16" t="n">
        <x:v>24</x:v>
      </x:c>
      <x:c r="K72" s="16" t="n">
        <x:v>420</x:v>
      </x:c>
      <x:c r="L72" s="16" t="n">
        <x:f>K72-J72</x:f>
        <x:v>396</x:v>
      </x:c>
      <x:c r="M72" s="15" t="str">
        <x:v>Yes</x:v>
      </x:c>
      <x:c r="N72" s="15" t="str">
        <x:v>None</x:v>
      </x:c>
      <x:c r="O72" s="18" t="str">
        <x:v>Powered alert when hostile enemies approach within 18m.</x:v>
      </x:c>
    </x:row>
    <x:row r="73" ht="46" customHeight="1">
      <x:c r="A73" s="14" t="n">
        <x:v>65</x:v>
      </x:c>
      <x:c r="B73" s="14" t="str">
        <x:v>Searchlight</x:v>
      </x:c>
      <x:c r="C73" s="14" t="str">
        <x:v>Defenses</x:v>
      </x:c>
      <x:c r="D73" s="14" t="n">
        <x:v>4</x:v>
      </x:c>
      <x:c r="E73" s="14" t="str">
        <x:v>searchlight</x:v>
      </x:c>
      <x:c r="F73" s="17" t="n">
        <x:v>0.8</x:v>
      </x:c>
      <x:c r="G73" s="17" t="n">
        <x:v>2</x:v>
      </x:c>
      <x:c r="H73" s="17" t="n">
        <x:v>0.8</x:v>
      </x:c>
      <x:c r="I73" s="14" t="n">
        <x:v>460</x:v>
      </x:c>
      <x:c r="J73" s="17" t="n">
        <x:v>24</x:v>
      </x:c>
      <x:c r="K73" s="17" t="n">
        <x:v>420</x:v>
      </x:c>
      <x:c r="L73" s="17" t="n">
        <x:f>K73-J73</x:f>
        <x:v>396</x:v>
      </x:c>
      <x:c r="M73" s="14" t="str">
        <x:v>Yes</x:v>
      </x:c>
      <x:c r="N73" s="14" t="str">
        <x:v>None</x:v>
      </x:c>
      <x:c r="O73" s="19" t="str">
        <x:v>Base lighting fixture; no direct attack damage.</x:v>
      </x:c>
    </x:row>
    <x:row r="74" ht="46" customHeight="1">
      <x:c r="A74" s="15" t="n">
        <x:v>66</x:v>
      </x:c>
      <x:c r="B74" s="15" t="str">
        <x:v>Heavy defensive turret</x:v>
      </x:c>
      <x:c r="C74" s="15" t="str">
        <x:v>Defenses</x:v>
      </x:c>
      <x:c r="D74" s="15" t="n">
        <x:v>5</x:v>
      </x:c>
      <x:c r="E74" s="15" t="str">
        <x:v>turret</x:v>
      </x:c>
      <x:c r="F74" s="16" t="n">
        <x:v>1.4</x:v>
      </x:c>
      <x:c r="G74" s="16" t="n">
        <x:v>1.8</x:v>
      </x:c>
      <x:c r="H74" s="16" t="n">
        <x:v>1.4</x:v>
      </x:c>
      <x:c r="I74" s="15" t="n">
        <x:v>700</x:v>
      </x:c>
      <x:c r="J74" s="16" t="n">
        <x:v>27</x:v>
      </x:c>
      <x:c r="K74" s="16" t="n">
        <x:v>500</x:v>
      </x:c>
      <x:c r="L74" s="16" t="n">
        <x:f>K74-J74</x:f>
        <x:v>473</x:v>
      </x:c>
      <x:c r="M74" s="15" t="str">
        <x:v>Yes</x:v>
      </x:c>
      <x:c r="N74" s="15" t="str">
        <x:v>None</x:v>
      </x:c>
      <x:c r="O74" s="18" t="str">
        <x:v>175 damage / 1s check, one visible target within 24m; uses 1 pistol round. Requires power.</x:v>
      </x:c>
    </x:row>
    <x:row r="75" ht="46" customHeight="1">
      <x:c r="A75" s="14" t="n">
        <x:v>67</x:v>
      </x:c>
      <x:c r="B75" s="14" t="str">
        <x:v>Powered shock trap</x:v>
      </x:c>
      <x:c r="C75" s="14" t="str">
        <x:v>Defenses</x:v>
      </x:c>
      <x:c r="D75" s="14" t="n">
        <x:v>5</x:v>
      </x:c>
      <x:c r="E75" s="14" t="str">
        <x:v>electrictrap</x:v>
      </x:c>
      <x:c r="F75" s="17" t="n">
        <x:v>2</x:v>
      </x:c>
      <x:c r="G75" s="17" t="n">
        <x:v>0.3</x:v>
      </x:c>
      <x:c r="H75" s="17" t="n">
        <x:v>2</x:v>
      </x:c>
      <x:c r="I75" s="14" t="n">
        <x:v>700</x:v>
      </x:c>
      <x:c r="J75" s="17" t="n">
        <x:v>27</x:v>
      </x:c>
      <x:c r="K75" s="17" t="n">
        <x:v>500</x:v>
      </x:c>
      <x:c r="L75" s="17" t="n">
        <x:f>K75-J75</x:f>
        <x:v>473</x:v>
      </x:c>
      <x:c r="M75" s="14" t="str">
        <x:v>Yes</x:v>
      </x:c>
      <x:c r="N75" s="14" t="str">
        <x:v>None</x:v>
      </x:c>
      <x:c r="O75" s="19" t="str">
        <x:v>40 damage / 1s check, up to 3 nearby hostile targets; requires power.</x:v>
      </x:c>
    </x:row>
    <x:row r="76" ht="46" customHeight="1">
      <x:c r="A76" s="15" t="n">
        <x:v>68</x:v>
      </x:c>
      <x:c r="B76" s="15" t="str">
        <x:v>Campfire</x:v>
      </x:c>
      <x:c r="C76" s="15" t="str">
        <x:v>Survival</x:v>
      </x:c>
      <x:c r="D76" s="15" t="n">
        <x:v>1</x:v>
      </x:c>
      <x:c r="E76" s="15" t="str">
        <x:v>cook</x:v>
      </x:c>
      <x:c r="F76" s="16" t="n">
        <x:v>1</x:v>
      </x:c>
      <x:c r="G76" s="16" t="n">
        <x:v>0.4</x:v>
      </x:c>
      <x:c r="H76" s="16" t="n">
        <x:v>1</x:v>
      </x:c>
      <x:c r="I76" s="15" t="n">
        <x:v>100</x:v>
      </x:c>
      <x:c r="J76" s="16" t="n">
        <x:v>15</x:v>
      </x:c>
      <x:c r="K76" s="16" t="n">
        <x:v>180</x:v>
      </x:c>
      <x:c r="L76" s="16" t="n">
        <x:f>K76-J76</x:f>
        <x:v>165</x:v>
      </x:c>
      <x:c r="M76" s="15" t="str">
        <x:v>Yes</x:v>
      </x:c>
      <x:c r="N76" s="15" t="str">
        <x:v>None</x:v>
      </x:c>
      <x:c r="O76" s="18" t="str">
        <x:v>4 fiber makes 2 provisions; 2 timber boils up to 2 untreated water. Also supports hunting cooking nearby.</x:v>
      </x:c>
    </x:row>
    <x:row r="77" ht="46" customHeight="1">
      <x:c r="A77" s="14" t="n">
        <x:v>69</x:v>
      </x:c>
      <x:c r="B77" s="14" t="str">
        <x:v>Boiling kettle</x:v>
      </x:c>
      <x:c r="C77" s="14" t="str">
        <x:v>Survival</x:v>
      </x:c>
      <x:c r="D77" s="14" t="n">
        <x:v>1</x:v>
      </x:c>
      <x:c r="E77" s="14" t="str">
        <x:v>water</x:v>
      </x:c>
      <x:c r="F77" s="17" t="n">
        <x:v>0.8</x:v>
      </x:c>
      <x:c r="G77" s="17" t="n">
        <x:v>0.8</x:v>
      </x:c>
      <x:c r="H77" s="17" t="n">
        <x:v>0.8</x:v>
      </x:c>
      <x:c r="I77" s="14" t="n">
        <x:v>100</x:v>
      </x:c>
      <x:c r="J77" s="17" t="n">
        <x:v>15</x:v>
      </x:c>
      <x:c r="K77" s="17" t="n">
        <x:v>180</x:v>
      </x:c>
      <x:c r="L77" s="17" t="n">
        <x:f>K77-J77</x:f>
        <x:v>165</x:v>
      </x:c>
      <x:c r="M77" s="14" t="str">
        <x:v>Yes</x:v>
      </x:c>
      <x:c r="N77" s="14" t="str">
        <x:v>None</x:v>
      </x:c>
      <x:c r="O77" s="19" t="str">
        <x:v>1 drinking water / 120 active seconds; stock cap 20. Fuel: 1 timber per 120 seconds.</x:v>
      </x:c>
    </x:row>
    <x:row r="78" ht="46" customHeight="1">
      <x:c r="A78" s="15" t="n">
        <x:v>70</x:v>
      </x:c>
      <x:c r="B78" s="15" t="str">
        <x:v>Rain collector</x:v>
      </x:c>
      <x:c r="C78" s="15" t="str">
        <x:v>Survival</x:v>
      </x:c>
      <x:c r="D78" s="15" t="n">
        <x:v>2</x:v>
      </x:c>
      <x:c r="E78" s="15" t="str">
        <x:v>water</x:v>
      </x:c>
      <x:c r="F78" s="16" t="n">
        <x:v>1.5</x:v>
      </x:c>
      <x:c r="G78" s="16" t="n">
        <x:v>1.2</x:v>
      </x:c>
      <x:c r="H78" s="16" t="n">
        <x:v>1.5</x:v>
      </x:c>
      <x:c r="I78" s="15" t="n">
        <x:v>180</x:v>
      </x:c>
      <x:c r="J78" s="16" t="n">
        <x:v>18</x:v>
      </x:c>
      <x:c r="K78" s="16" t="n">
        <x:v>260</x:v>
      </x:c>
      <x:c r="L78" s="16" t="n">
        <x:f>K78-J78</x:f>
        <x:v>242</x:v>
      </x:c>
      <x:c r="M78" s="15" t="str">
        <x:v>Yes</x:v>
      </x:c>
      <x:c r="N78" s="15" t="str">
        <x:v>None</x:v>
      </x:c>
      <x:c r="O78" s="18" t="str">
        <x:v>2 drinking water / 120 active seconds; stock cap 40. No generator required.</x:v>
      </x:c>
    </x:row>
    <x:row r="79" ht="46" customHeight="1">
      <x:c r="A79" s="14" t="n">
        <x:v>71</x:v>
      </x:c>
      <x:c r="B79" s="14" t="str">
        <x:v>Drying rack</x:v>
      </x:c>
      <x:c r="C79" s="14" t="str">
        <x:v>Survival</x:v>
      </x:c>
      <x:c r="D79" s="14" t="n">
        <x:v>2</x:v>
      </x:c>
      <x:c r="E79" s="14" t="str">
        <x:v>food</x:v>
      </x:c>
      <x:c r="F79" s="17" t="n">
        <x:v>1.5</x:v>
      </x:c>
      <x:c r="G79" s="17" t="n">
        <x:v>1.7</x:v>
      </x:c>
      <x:c r="H79" s="17" t="n">
        <x:v>0.7</x:v>
      </x:c>
      <x:c r="I79" s="14" t="n">
        <x:v>180</x:v>
      </x:c>
      <x:c r="J79" s="17" t="n">
        <x:v>18</x:v>
      </x:c>
      <x:c r="K79" s="17" t="n">
        <x:v>260</x:v>
      </x:c>
      <x:c r="L79" s="17" t="n">
        <x:f>K79-J79</x:f>
        <x:v>242</x:v>
      </x:c>
      <x:c r="M79" s="14" t="str">
        <x:v>Yes</x:v>
      </x:c>
      <x:c r="N79" s="14" t="str">
        <x:v>None</x:v>
      </x:c>
      <x:c r="O79" s="19" t="str">
        <x:v>2 food / 240 active seconds; stock cap 40; no generator required.</x:v>
      </x:c>
    </x:row>
    <x:row r="80" ht="46" customHeight="1">
      <x:c r="A80" s="15" t="n">
        <x:v>72</x:v>
      </x:c>
      <x:c r="B80" s="15" t="str">
        <x:v>Crop bed</x:v>
      </x:c>
      <x:c r="C80" s="15" t="str">
        <x:v>Survival</x:v>
      </x:c>
      <x:c r="D80" s="15" t="n">
        <x:v>2</x:v>
      </x:c>
      <x:c r="E80" s="15" t="str">
        <x:v>farm</x:v>
      </x:c>
      <x:c r="F80" s="16" t="n">
        <x:v>2</x:v>
      </x:c>
      <x:c r="G80" s="16" t="n">
        <x:v>0.3</x:v>
      </x:c>
      <x:c r="H80" s="16" t="n">
        <x:v>2</x:v>
      </x:c>
      <x:c r="I80" s="15" t="n">
        <x:v>180</x:v>
      </x:c>
      <x:c r="J80" s="16" t="n">
        <x:v>18</x:v>
      </x:c>
      <x:c r="K80" s="16" t="n">
        <x:v>260</x:v>
      </x:c>
      <x:c r="L80" s="16" t="n">
        <x:f>K80-J80</x:f>
        <x:v>242</x:v>
      </x:c>
      <x:c r="M80" s="15" t="str">
        <x:v>Yes</x:v>
      </x:c>
      <x:c r="N80" s="15" t="str">
        <x:v>None</x:v>
      </x:c>
      <x:c r="O80" s="18" t="str">
        <x:v>2 food / 360 active seconds; stock cap 40. No generator required.</x:v>
      </x:c>
    </x:row>
    <x:row r="81" ht="46" customHeight="1">
      <x:c r="A81" s="14" t="n">
        <x:v>73</x:v>
      </x:c>
      <x:c r="B81" s="14" t="str">
        <x:v>Water well</x:v>
      </x:c>
      <x:c r="C81" s="14" t="str">
        <x:v>Survival</x:v>
      </x:c>
      <x:c r="D81" s="14" t="n">
        <x:v>3</x:v>
      </x:c>
      <x:c r="E81" s="14" t="str">
        <x:v>water</x:v>
      </x:c>
      <x:c r="F81" s="17" t="n">
        <x:v>2</x:v>
      </x:c>
      <x:c r="G81" s="17" t="n">
        <x:v>1</x:v>
      </x:c>
      <x:c r="H81" s="17" t="n">
        <x:v>2</x:v>
      </x:c>
      <x:c r="I81" s="14" t="n">
        <x:v>300</x:v>
      </x:c>
      <x:c r="J81" s="17" t="n">
        <x:v>21</x:v>
      </x:c>
      <x:c r="K81" s="17" t="n">
        <x:v>340</x:v>
      </x:c>
      <x:c r="L81" s="17" t="n">
        <x:f>K81-J81</x:f>
        <x:v>319</x:v>
      </x:c>
      <x:c r="M81" s="14" t="str">
        <x:v>Yes</x:v>
      </x:c>
      <x:c r="N81" s="14" t="str">
        <x:v>None</x:v>
      </x:c>
      <x:c r="O81" s="19" t="str">
        <x:v>3 drinking water / 120 active seconds; stock cap 60. No generator required.</x:v>
      </x:c>
    </x:row>
    <x:row r="82" ht="46" customHeight="1">
      <x:c r="A82" s="15" t="n">
        <x:v>74</x:v>
      </x:c>
      <x:c r="B82" s="15" t="str">
        <x:v>Refrigerator</x:v>
      </x:c>
      <x:c r="C82" s="15" t="str">
        <x:v>Survival</x:v>
      </x:c>
      <x:c r="D82" s="15" t="n">
        <x:v>3</x:v>
      </x:c>
      <x:c r="E82" s="15" t="str">
        <x:v>fridge</x:v>
      </x:c>
      <x:c r="F82" s="16" t="n">
        <x:v>1</x:v>
      </x:c>
      <x:c r="G82" s="16" t="n">
        <x:v>1.8</x:v>
      </x:c>
      <x:c r="H82" s="16" t="n">
        <x:v>1</x:v>
      </x:c>
      <x:c r="I82" s="15" t="n">
        <x:v>300</x:v>
      </x:c>
      <x:c r="J82" s="16" t="n">
        <x:v>21</x:v>
      </x:c>
      <x:c r="K82" s="16" t="n">
        <x:v>340</x:v>
      </x:c>
      <x:c r="L82" s="16" t="n">
        <x:f>K82-J82</x:f>
        <x:v>319</x:v>
      </x:c>
      <x:c r="M82" s="15" t="str">
        <x:v>Yes</x:v>
      </x:c>
      <x:c r="N82" s="15" t="str">
        <x:v>None</x:v>
      </x:c>
      <x:c r="O82" s="18" t="str">
        <x:v>Shared stock: 600 per resource slot; power prevents food spoilage.</x:v>
      </x:c>
    </x:row>
    <x:row r="83" ht="46" customHeight="1">
      <x:c r="A83" s="14" t="n">
        <x:v>75</x:v>
      </x:c>
      <x:c r="B83" s="14" t="str">
        <x:v>Field kitchen</x:v>
      </x:c>
      <x:c r="C83" s="14" t="str">
        <x:v>Survival</x:v>
      </x:c>
      <x:c r="D83" s="14" t="n">
        <x:v>3</x:v>
      </x:c>
      <x:c r="E83" s="14" t="str">
        <x:v>cook</x:v>
      </x:c>
      <x:c r="F83" s="17" t="n">
        <x:v>1.8</x:v>
      </x:c>
      <x:c r="G83" s="17" t="n">
        <x:v>1.1</x:v>
      </x:c>
      <x:c r="H83" s="17" t="n">
        <x:v>0.8</x:v>
      </x:c>
      <x:c r="I83" s="14" t="n">
        <x:v>300</x:v>
      </x:c>
      <x:c r="J83" s="17" t="n">
        <x:v>21</x:v>
      </x:c>
      <x:c r="K83" s="17" t="n">
        <x:v>340</x:v>
      </x:c>
      <x:c r="L83" s="17" t="n">
        <x:f>K83-J83</x:f>
        <x:v>319</x:v>
      </x:c>
      <x:c r="M83" s="14" t="str">
        <x:v>Yes</x:v>
      </x:c>
      <x:c r="N83" s="14" t="str">
        <x:v>None</x:v>
      </x:c>
      <x:c r="O83" s="19" t="str">
        <x:v>4 fiber makes 2 provisions; 2 timber boils up to 2 untreated water. Also supports hunting cooking nearby.</x:v>
      </x:c>
    </x:row>
    <x:row r="84" ht="46" customHeight="1">
      <x:c r="A84" s="15" t="n">
        <x:v>76</x:v>
      </x:c>
      <x:c r="B84" s="15" t="str">
        <x:v>Medical station</x:v>
      </x:c>
      <x:c r="C84" s="15" t="str">
        <x:v>Survival</x:v>
      </x:c>
      <x:c r="D84" s="15" t="n">
        <x:v>4</x:v>
      </x:c>
      <x:c r="E84" s="15" t="str">
        <x:v>medical</x:v>
      </x:c>
      <x:c r="F84" s="16" t="n">
        <x:v>2</x:v>
      </x:c>
      <x:c r="G84" s="16" t="n">
        <x:v>0.9</x:v>
      </x:c>
      <x:c r="H84" s="16" t="n">
        <x:v>1</x:v>
      </x:c>
      <x:c r="I84" s="15" t="n">
        <x:v>460</x:v>
      </x:c>
      <x:c r="J84" s="16" t="n">
        <x:v>24</x:v>
      </x:c>
      <x:c r="K84" s="16" t="n">
        <x:v>420</x:v>
      </x:c>
      <x:c r="L84" s="16" t="n">
        <x:f>K84-J84</x:f>
        <x:v>396</x:v>
      </x:c>
      <x:c r="M84" s="15" t="str">
        <x:v>Yes</x:v>
      </x:c>
      <x:c r="N84" s="15" t="str">
        <x:v>None</x:v>
      </x:c>
      <x:c r="O84" s="18" t="str">
        <x:v>Powered: 3 fiber makes 4 bandages. Improves slow recovery nearby; does not shorten patched wound timers.</x:v>
      </x:c>
    </x:row>
    <x:row r="85" ht="46" customHeight="1">
      <x:c r="A85" s="14" t="n">
        <x:v>77</x:v>
      </x:c>
      <x:c r="B85" s="14" t="str">
        <x:v>Water filter</x:v>
      </x:c>
      <x:c r="C85" s="14" t="str">
        <x:v>Survival</x:v>
      </x:c>
      <x:c r="D85" s="14" t="n">
        <x:v>4</x:v>
      </x:c>
      <x:c r="E85" s="14" t="str">
        <x:v>water</x:v>
      </x:c>
      <x:c r="F85" s="17" t="n">
        <x:v>1</x:v>
      </x:c>
      <x:c r="G85" s="17" t="n">
        <x:v>1.5</x:v>
      </x:c>
      <x:c r="H85" s="17" t="n">
        <x:v>1</x:v>
      </x:c>
      <x:c r="I85" s="14" t="n">
        <x:v>460</x:v>
      </x:c>
      <x:c r="J85" s="17" t="n">
        <x:v>24</x:v>
      </x:c>
      <x:c r="K85" s="17" t="n">
        <x:v>420</x:v>
      </x:c>
      <x:c r="L85" s="17" t="n">
        <x:f>K85-J85</x:f>
        <x:v>396</x:v>
      </x:c>
      <x:c r="M85" s="14" t="str">
        <x:v>Yes</x:v>
      </x:c>
      <x:c r="N85" s="14" t="str">
        <x:v>None</x:v>
      </x:c>
      <x:c r="O85" s="19" t="str">
        <x:v>4 drinking water / 120 active seconds; stock cap 80. Requires nearby generator.</x:v>
      </x:c>
    </x:row>
    <x:row r="86" ht="46" customHeight="1">
      <x:c r="A86" s="15" t="n">
        <x:v>78</x:v>
      </x:c>
      <x:c r="B86" s="15" t="str">
        <x:v>Greenhouse</x:v>
      </x:c>
      <x:c r="C86" s="15" t="str">
        <x:v>Survival</x:v>
      </x:c>
      <x:c r="D86" s="15" t="n">
        <x:v>4</x:v>
      </x:c>
      <x:c r="E86" s="15" t="str">
        <x:v>farm</x:v>
      </x:c>
      <x:c r="F86" s="16" t="n">
        <x:v>3</x:v>
      </x:c>
      <x:c r="G86" s="16" t="n">
        <x:v>2.5</x:v>
      </x:c>
      <x:c r="H86" s="16" t="n">
        <x:v>3</x:v>
      </x:c>
      <x:c r="I86" s="15" t="n">
        <x:v>460</x:v>
      </x:c>
      <x:c r="J86" s="16" t="n">
        <x:v>24</x:v>
      </x:c>
      <x:c r="K86" s="16" t="n">
        <x:v>420</x:v>
      </x:c>
      <x:c r="L86" s="16" t="n">
        <x:f>K86-J86</x:f>
        <x:v>396</x:v>
      </x:c>
      <x:c r="M86" s="15" t="str">
        <x:v>Yes</x:v>
      </x:c>
      <x:c r="N86" s="15" t="str">
        <x:v>None</x:v>
      </x:c>
      <x:c r="O86" s="18" t="str">
        <x:v>4 food / 360 active seconds; stock cap 80. Requires nearby generator.</x:v>
      </x:c>
    </x:row>
    <x:row r="87" ht="46" customHeight="1">
      <x:c r="A87" s="14" t="n">
        <x:v>79</x:v>
      </x:c>
      <x:c r="B87" s="14" t="str">
        <x:v>Advanced medical station</x:v>
      </x:c>
      <x:c r="C87" s="14" t="str">
        <x:v>Survival</x:v>
      </x:c>
      <x:c r="D87" s="14" t="n">
        <x:v>5</x:v>
      </x:c>
      <x:c r="E87" s="14" t="str">
        <x:v>medical</x:v>
      </x:c>
      <x:c r="F87" s="17" t="n">
        <x:v>2</x:v>
      </x:c>
      <x:c r="G87" s="17" t="n">
        <x:v>0.9</x:v>
      </x:c>
      <x:c r="H87" s="17" t="n">
        <x:v>1</x:v>
      </x:c>
      <x:c r="I87" s="14" t="n">
        <x:v>700</x:v>
      </x:c>
      <x:c r="J87" s="17" t="n">
        <x:v>27</x:v>
      </x:c>
      <x:c r="K87" s="17" t="n">
        <x:v>500</x:v>
      </x:c>
      <x:c r="L87" s="17" t="n">
        <x:f>K87-J87</x:f>
        <x:v>473</x:v>
      </x:c>
      <x:c r="M87" s="14" t="str">
        <x:v>Yes</x:v>
      </x:c>
      <x:c r="N87" s="14" t="str">
        <x:v>None</x:v>
      </x:c>
      <x:c r="O87" s="19" t="str">
        <x:v>Powered: 3 fiber makes 5 bandages. Improves slow recovery nearby; does not shorten patched wound timers.</x:v>
      </x:c>
    </x:row>
    <x:row r="88" ht="46" customHeight="1">
      <x:c r="A88" s="15" t="n">
        <x:v>80</x:v>
      </x:c>
      <x:c r="B88" s="15" t="str">
        <x:v>Efficient generator</x:v>
      </x:c>
      <x:c r="C88" s="15" t="str">
        <x:v>Survival</x:v>
      </x:c>
      <x:c r="D88" s="15" t="n">
        <x:v>5</x:v>
      </x:c>
      <x:c r="E88" s="15" t="str">
        <x:v>power</x:v>
      </x:c>
      <x:c r="F88" s="16" t="n">
        <x:v>1.5</x:v>
      </x:c>
      <x:c r="G88" s="16" t="n">
        <x:v>1.2</x:v>
      </x:c>
      <x:c r="H88" s="16" t="n">
        <x:v>1</x:v>
      </x:c>
      <x:c r="I88" s="15" t="n">
        <x:v>700</x:v>
      </x:c>
      <x:c r="J88" s="16" t="n">
        <x:v>27</x:v>
      </x:c>
      <x:c r="K88" s="16" t="n">
        <x:v>500</x:v>
      </x:c>
      <x:c r="L88" s="16" t="n">
        <x:f>K88-J88</x:f>
        <x:v>473</x:v>
      </x:c>
      <x:c r="M88" s="15" t="str">
        <x:v>Yes</x:v>
      </x:c>
      <x:c r="N88" s="15" t="str">
        <x:v>None</x:v>
      </x:c>
      <x:c r="O88" s="18" t="str">
        <x:v>5 fiber + 1 resin gives 1200s power; radius 24m.</x:v>
      </x:c>
    </x:row>
    <x:row r="89" ht="46" customHeight="1">
      <x:c r="A89" s="14" t="n">
        <x:v>81</x:v>
      </x:c>
      <x:c r="B89" s="14" t="str">
        <x:v>Bulk water tank</x:v>
      </x:c>
      <x:c r="C89" s="14" t="str">
        <x:v>Survival</x:v>
      </x:c>
      <x:c r="D89" s="14" t="n">
        <x:v>5</x:v>
      </x:c>
      <x:c r="E89" s="14" t="str">
        <x:v>water</x:v>
      </x:c>
      <x:c r="F89" s="17" t="n">
        <x:v>2</x:v>
      </x:c>
      <x:c r="G89" s="17" t="n">
        <x:v>2</x:v>
      </x:c>
      <x:c r="H89" s="17" t="n">
        <x:v>2</x:v>
      </x:c>
      <x:c r="I89" s="14" t="n">
        <x:v>700</x:v>
      </x:c>
      <x:c r="J89" s="17" t="n">
        <x:v>27</x:v>
      </x:c>
      <x:c r="K89" s="17" t="n">
        <x:v>500</x:v>
      </x:c>
      <x:c r="L89" s="17" t="n">
        <x:f>K89-J89</x:f>
        <x:v>473</x:v>
      </x:c>
      <x:c r="M89" s="14" t="str">
        <x:v>Yes</x:v>
      </x:c>
      <x:c r="N89" s="14" t="str">
        <x:v>None</x:v>
      </x:c>
      <x:c r="O89" s="19" t="str">
        <x:v>5 drinking water / 120 active seconds; stock cap 100. Requires nearby generator.</x:v>
      </x:c>
    </x:row>
    <x:row r="90" ht="46" customHeight="1">
      <x:c r="A90" s="15" t="n">
        <x:v>82</x:v>
      </x:c>
      <x:c r="B90" s="15" t="str">
        <x:v>Hydroponic farm</x:v>
      </x:c>
      <x:c r="C90" s="15" t="str">
        <x:v>Survival</x:v>
      </x:c>
      <x:c r="D90" s="15" t="n">
        <x:v>5</x:v>
      </x:c>
      <x:c r="E90" s="15" t="str">
        <x:v>farm</x:v>
      </x:c>
      <x:c r="F90" s="16" t="n">
        <x:v>2</x:v>
      </x:c>
      <x:c r="G90" s="16" t="n">
        <x:v>1</x:v>
      </x:c>
      <x:c r="H90" s="16" t="n">
        <x:v>2</x:v>
      </x:c>
      <x:c r="I90" s="15" t="n">
        <x:v>700</x:v>
      </x:c>
      <x:c r="J90" s="16" t="n">
        <x:v>27</x:v>
      </x:c>
      <x:c r="K90" s="16" t="n">
        <x:v>500</x:v>
      </x:c>
      <x:c r="L90" s="16" t="n">
        <x:f>K90-J90</x:f>
        <x:v>473</x:v>
      </x:c>
      <x:c r="M90" s="15" t="str">
        <x:v>Yes</x:v>
      </x:c>
      <x:c r="N90" s="15" t="str">
        <x:v>None</x:v>
      </x:c>
      <x:c r="O90" s="18" t="str">
        <x:v>5 food / 360 active seconds; stock cap 100. Requires nearby generator.</x:v>
      </x:c>
    </x:row>
    <x:row r="91" ht="46" customHeight="1">
      <x:c r="A91" s="14" t="n">
        <x:v>83</x:v>
      </x:c>
      <x:c r="B91" s="14" t="str">
        <x:v>Survivor cot</x:v>
      </x:c>
      <x:c r="C91" s="14" t="str">
        <x:v>Survival</x:v>
      </x:c>
      <x:c r="D91" s="14" t="n">
        <x:v>1</x:v>
      </x:c>
      <x:c r="E91" s="14" t="str">
        <x:v>bed</x:v>
      </x:c>
      <x:c r="F91" s="17" t="n">
        <x:v>0.9</x:v>
      </x:c>
      <x:c r="G91" s="17" t="n">
        <x:v>0.55</x:v>
      </x:c>
      <x:c r="H91" s="17" t="n">
        <x:v>2</x:v>
      </x:c>
      <x:c r="I91" s="14" t="n">
        <x:v>100</x:v>
      </x:c>
      <x:c r="J91" s="17" t="n">
        <x:v>15</x:v>
      </x:c>
      <x:c r="K91" s="17" t="n">
        <x:v>180</x:v>
      </x:c>
      <x:c r="L91" s="17" t="n">
        <x:f>K91-J91</x:f>
        <x:v>165</x:v>
      </x:c>
      <x:c r="M91" s="14" t="str">
        <x:v>Yes</x:v>
      </x:c>
      <x:c r="N91" s="14" t="str">
        <x:v>None</x:v>
      </x:c>
      <x:c r="O91" s="19" t="str">
        <x:v>Cot for one settler; shelter requires a roof overhead and two nearby walls.</x:v>
      </x:c>
    </x:row>
    <x:row r="92" ht="46" customHeight="1">
      <x:c r="A92" s="15" t="n">
        <x:v>84</x:v>
      </x:c>
      <x:c r="B92" s="15" t="str">
        <x:v>Salvaged table</x:v>
      </x:c>
      <x:c r="C92" s="15" t="str">
        <x:v>Buildings</x:v>
      </x:c>
      <x:c r="D92" s="15" t="n">
        <x:v>1</x:v>
      </x:c>
      <x:c r="E92" s="15" t="str">
        <x:v>decor-table</x:v>
      </x:c>
      <x:c r="F92" s="16" t="n">
        <x:v>1.4</x:v>
      </x:c>
      <x:c r="G92" s="16" t="n">
        <x:v>0.8</x:v>
      </x:c>
      <x:c r="H92" s="16" t="n">
        <x:v>0.8</x:v>
      </x:c>
      <x:c r="I92" s="15" t="n">
        <x:v>100</x:v>
      </x:c>
      <x:c r="J92" s="16" t="n">
        <x:v>15</x:v>
      </x:c>
      <x:c r="K92" s="16" t="n">
        <x:v>180</x:v>
      </x:c>
      <x:c r="L92" s="16" t="n">
        <x:f>K92-J92</x:f>
        <x:v>165</x:v>
      </x:c>
      <x:c r="M92" s="15" t="str">
        <x:v>Yes</x:v>
      </x:c>
      <x:c r="N92" s="15" t="str">
        <x:v>None</x:v>
      </x:c>
      <x:c r="O92" s="18" t="str">
        <x:v>Placeable interior decoration; no production or combat effect.</x:v>
      </x:c>
    </x:row>
    <x:row r="93" ht="46" customHeight="1">
      <x:c r="A93" s="14" t="n">
        <x:v>85</x:v>
      </x:c>
      <x:c r="B93" s="14" t="str">
        <x:v>Camp stool</x:v>
      </x:c>
      <x:c r="C93" s="14" t="str">
        <x:v>Buildings</x:v>
      </x:c>
      <x:c r="D93" s="14" t="n">
        <x:v>1</x:v>
      </x:c>
      <x:c r="E93" s="14" t="str">
        <x:v>decor-stool</x:v>
      </x:c>
      <x:c r="F93" s="17" t="n">
        <x:v>0.45</x:v>
      </x:c>
      <x:c r="G93" s="17" t="n">
        <x:v>0.5</x:v>
      </x:c>
      <x:c r="H93" s="17" t="n">
        <x:v>0.45</x:v>
      </x:c>
      <x:c r="I93" s="14" t="n">
        <x:v>100</x:v>
      </x:c>
      <x:c r="J93" s="17" t="n">
        <x:v>15</x:v>
      </x:c>
      <x:c r="K93" s="17" t="n">
        <x:v>180</x:v>
      </x:c>
      <x:c r="L93" s="17" t="n">
        <x:f>K93-J93</x:f>
        <x:v>165</x:v>
      </x:c>
      <x:c r="M93" s="14" t="str">
        <x:v>Yes</x:v>
      </x:c>
      <x:c r="N93" s="14" t="str">
        <x:v>None</x:v>
      </x:c>
      <x:c r="O93" s="19" t="str">
        <x:v>Placeable interior decoration; no production or combat effect.</x:v>
      </x:c>
    </x:row>
    <x:row r="94" ht="46" customHeight="1">
      <x:c r="A94" s="15" t="n">
        <x:v>86</x:v>
      </x:c>
      <x:c r="B94" s="15" t="str">
        <x:v>Patchwork rug</x:v>
      </x:c>
      <x:c r="C94" s="15" t="str">
        <x:v>Buildings</x:v>
      </x:c>
      <x:c r="D94" s="15" t="n">
        <x:v>1</x:v>
      </x:c>
      <x:c r="E94" s="15" t="str">
        <x:v>decor-rug</x:v>
      </x:c>
      <x:c r="F94" s="16" t="n">
        <x:v>1.8</x:v>
      </x:c>
      <x:c r="G94" s="16" t="n">
        <x:v>0.035</x:v>
      </x:c>
      <x:c r="H94" s="16" t="n">
        <x:v>1.2</x:v>
      </x:c>
      <x:c r="I94" s="15" t="n">
        <x:v>100</x:v>
      </x:c>
      <x:c r="J94" s="16" t="n">
        <x:v>15</x:v>
      </x:c>
      <x:c r="K94" s="16" t="n">
        <x:v>180</x:v>
      </x:c>
      <x:c r="L94" s="16" t="n">
        <x:f>K94-J94</x:f>
        <x:v>165</x:v>
      </x:c>
      <x:c r="M94" s="15" t="str">
        <x:v>Yes</x:v>
      </x:c>
      <x:c r="N94" s="15" t="str">
        <x:v>None</x:v>
      </x:c>
      <x:c r="O94" s="18" t="str">
        <x:v>Placeable interior decoration; no production or combat effect.</x:v>
      </x:c>
    </x:row>
    <x:row r="95" ht="46" customHeight="1">
      <x:c r="A95" s="14" t="n">
        <x:v>87</x:v>
      </x:c>
      <x:c r="B95" s="14" t="str">
        <x:v>Keepsake shelf</x:v>
      </x:c>
      <x:c r="C95" s="14" t="str">
        <x:v>Buildings</x:v>
      </x:c>
      <x:c r="D95" s="14" t="n">
        <x:v>1</x:v>
      </x:c>
      <x:c r="E95" s="14" t="str">
        <x:v>decor-shelf</x:v>
      </x:c>
      <x:c r="F95" s="17" t="n">
        <x:v>1.2</x:v>
      </x:c>
      <x:c r="G95" s="17" t="n">
        <x:v>1.5</x:v>
      </x:c>
      <x:c r="H95" s="17" t="n">
        <x:v>0.35</x:v>
      </x:c>
      <x:c r="I95" s="14" t="n">
        <x:v>100</x:v>
      </x:c>
      <x:c r="J95" s="17" t="n">
        <x:v>15</x:v>
      </x:c>
      <x:c r="K95" s="17" t="n">
        <x:v>180</x:v>
      </x:c>
      <x:c r="L95" s="17" t="n">
        <x:f>K95-J95</x:f>
        <x:v>165</x:v>
      </x:c>
      <x:c r="M95" s="14" t="str">
        <x:v>Yes</x:v>
      </x:c>
      <x:c r="N95" s="14" t="str">
        <x:v>None</x:v>
      </x:c>
      <x:c r="O95" s="19" t="str">
        <x:v>Placeable interior decoration; no production or combat effect.</x:v>
      </x:c>
    </x:row>
    <x:row r="96" ht="46" customHeight="1">
      <x:c r="A96" s="15" t="n">
        <x:v>88</x:v>
      </x:c>
      <x:c r="B96" s="15" t="str">
        <x:v>Resin lantern</x:v>
      </x:c>
      <x:c r="C96" s="15" t="str">
        <x:v>Buildings</x:v>
      </x:c>
      <x:c r="D96" s="15" t="n">
        <x:v>2</x:v>
      </x:c>
      <x:c r="E96" s="15" t="str">
        <x:v>decor-lantern</x:v>
      </x:c>
      <x:c r="F96" s="16" t="n">
        <x:v>0.3</x:v>
      </x:c>
      <x:c r="G96" s="16" t="n">
        <x:v>0.5</x:v>
      </x:c>
      <x:c r="H96" s="16" t="n">
        <x:v>0.3</x:v>
      </x:c>
      <x:c r="I96" s="15" t="n">
        <x:v>180</x:v>
      </x:c>
      <x:c r="J96" s="16" t="n">
        <x:v>18</x:v>
      </x:c>
      <x:c r="K96" s="16" t="n">
        <x:v>260</x:v>
      </x:c>
      <x:c r="L96" s="16" t="n">
        <x:f>K96-J96</x:f>
        <x:v>242</x:v>
      </x:c>
      <x:c r="M96" s="15" t="str">
        <x:v>Yes</x:v>
      </x:c>
      <x:c r="N96" s="15" t="str">
        <x:v>None</x:v>
      </x:c>
      <x:c r="O96" s="18" t="str">
        <x:v>Decorative resin lantern with a local light.</x:v>
      </x:c>
    </x:row>
    <x:row r="97" ht="46" customHeight="1">
      <x:c r="A97" s="14" t="n">
        <x:v>89</x:v>
      </x:c>
      <x:c r="B97" s="14" t="str">
        <x:v>Scrap workshop table</x:v>
      </x:c>
      <x:c r="C97" s="14" t="str">
        <x:v>Buildings</x:v>
      </x:c>
      <x:c r="D97" s="14" t="n">
        <x:v>3</x:v>
      </x:c>
      <x:c r="E97" s="14" t="str">
        <x:v>decor-table</x:v>
      </x:c>
      <x:c r="F97" s="17" t="n">
        <x:v>1.6</x:v>
      </x:c>
      <x:c r="G97" s="17" t="n">
        <x:v>0.85</x:v>
      </x:c>
      <x:c r="H97" s="17" t="n">
        <x:v>0.8</x:v>
      </x:c>
      <x:c r="I97" s="14" t="n">
        <x:v>300</x:v>
      </x:c>
      <x:c r="J97" s="17" t="n">
        <x:v>21</x:v>
      </x:c>
      <x:c r="K97" s="17" t="n">
        <x:v>340</x:v>
      </x:c>
      <x:c r="L97" s="17" t="n">
        <x:f>K97-J97</x:f>
        <x:v>319</x:v>
      </x:c>
      <x:c r="M97" s="14" t="str">
        <x:v>Yes</x:v>
      </x:c>
      <x:c r="N97" s="14" t="str">
        <x:v>None</x:v>
      </x:c>
      <x:c r="O97" s="19" t="str">
        <x:v>Placeable interior decoration; no production or combat effect.</x:v>
      </x:c>
    </x:row>
    <x:row r="98" ht="46" customHeight="1">
      <x:c r="A98" s="15" t="n">
        <x:v>90</x:v>
      </x:c>
      <x:c r="B98" s="15" t="str">
        <x:v>Military footlocker</x:v>
      </x:c>
      <x:c r="C98" s="15" t="str">
        <x:v>Buildings</x:v>
      </x:c>
      <x:c r="D98" s="15" t="n">
        <x:v>5</x:v>
      </x:c>
      <x:c r="E98" s="15" t="str">
        <x:v>storage</x:v>
      </x:c>
      <x:c r="F98" s="16" t="n">
        <x:v>1.2</x:v>
      </x:c>
      <x:c r="G98" s="16" t="n">
        <x:v>0.6</x:v>
      </x:c>
      <x:c r="H98" s="16" t="n">
        <x:v>0.65</x:v>
      </x:c>
      <x:c r="I98" s="15" t="n">
        <x:v>700</x:v>
      </x:c>
      <x:c r="J98" s="16" t="n">
        <x:v>27</x:v>
      </x:c>
      <x:c r="K98" s="16" t="n">
        <x:v>500</x:v>
      </x:c>
      <x:c r="L98" s="16" t="n">
        <x:f>K98-J98</x:f>
        <x:v>473</x:v>
      </x:c>
      <x:c r="M98" s="15" t="str">
        <x:v>Yes</x:v>
      </x:c>
      <x:c r="N98" s="15" t="str">
        <x:v>None</x:v>
      </x:c>
      <x:c r="O98" s="18" t="str">
        <x:v>Shared stock: 1000 per resource slot; 15 resource types. Food loses 1 portion / 30 active minutes.</x:v>
      </x:c>
    </x:row>
    <x:row r="99" ht="46" customHeight="1">
      <x:c r="A99" s="14" t="n">
        <x:v>91</x:v>
      </x:c>
      <x:c r="B99" s="14" t="str">
        <x:v>Rough timber door wall</x:v>
      </x:c>
      <x:c r="C99" s="14" t="str">
        <x:v>Buildings</x:v>
      </x:c>
      <x:c r="D99" s="14" t="n">
        <x:v>1</x:v>
      </x:c>
      <x:c r="E99" s="14" t="str">
        <x:v>door</x:v>
      </x:c>
      <x:c r="F99" s="17" t="n">
        <x:v>3</x:v>
      </x:c>
      <x:c r="G99" s="17" t="n">
        <x:v>2.5</x:v>
      </x:c>
      <x:c r="H99" s="17" t="n">
        <x:v>0.2</x:v>
      </x:c>
      <x:c r="I99" s="14" t="n">
        <x:v>100</x:v>
      </x:c>
      <x:c r="J99" s="17" t="n">
        <x:v>15</x:v>
      </x:c>
      <x:c r="K99" s="17" t="n">
        <x:v>180</x:v>
      </x:c>
      <x:c r="L99" s="17" t="n">
        <x:f>K99-J99</x:f>
        <x:v>165</x:v>
      </x:c>
      <x:c r="M99" s="14" t="str">
        <x:v>Yes</x:v>
      </x:c>
      <x:c r="N99" s="14" t="str">
        <x:v>doorway</x:v>
      </x:c>
      <x:c r="O99" s="19" t="str">
        <x:v>Wall with hinged door; manual F operation, no power.</x:v>
      </x:c>
    </x:row>
    <x:row r="100" ht="46" customHeight="1">
      <x:c r="A100" s="15" t="n">
        <x:v>92</x:v>
      </x:c>
      <x:c r="B100" s="15" t="str">
        <x:v>Rough timber window wall</x:v>
      </x:c>
      <x:c r="C100" s="15" t="str">
        <x:v>Buildings</x:v>
      </x:c>
      <x:c r="D100" s="15" t="n">
        <x:v>1</x:v>
      </x:c>
      <x:c r="E100" s="15" t="str">
        <x:v>window</x:v>
      </x:c>
      <x:c r="F100" s="16" t="n">
        <x:v>3</x:v>
      </x:c>
      <x:c r="G100" s="16" t="n">
        <x:v>2.5</x:v>
      </x:c>
      <x:c r="H100" s="16" t="n">
        <x:v>0.2</x:v>
      </x:c>
      <x:c r="I100" s="15" t="n">
        <x:v>100</x:v>
      </x:c>
      <x:c r="J100" s="16" t="n">
        <x:v>15</x:v>
      </x:c>
      <x:c r="K100" s="16" t="n">
        <x:v>180</x:v>
      </x:c>
      <x:c r="L100" s="16" t="n">
        <x:f>K100-J100</x:f>
        <x:v>165</x:v>
      </x:c>
      <x:c r="M100" s="15" t="str">
        <x:v>Yes</x:v>
      </x:c>
      <x:c r="N100" s="15" t="str">
        <x:v>window</x:v>
      </x:c>
      <x:c r="O100" s="18" t="str">
        <x:v>Open firing aperture with a solid sill/frame; supports roof; advanced tiers add a mullion.</x:v>
      </x:c>
    </x:row>
    <x:row r="101" ht="46" customHeight="1">
      <x:c r="A101" s="14" t="n">
        <x:v>93</x:v>
      </x:c>
      <x:c r="B101" s="14" t="str">
        <x:v>Timber palisade gate</x:v>
      </x:c>
      <x:c r="C101" s="14" t="str">
        <x:v>Defenses</x:v>
      </x:c>
      <x:c r="D101" s="14" t="n">
        <x:v>1</x:v>
      </x:c>
      <x:c r="E101" s="14" t="str">
        <x:v>door</x:v>
      </x:c>
      <x:c r="F101" s="17" t="n">
        <x:v>6</x:v>
      </x:c>
      <x:c r="G101" s="17" t="n">
        <x:v>2.5</x:v>
      </x:c>
      <x:c r="H101" s="17" t="n">
        <x:v>0.3</x:v>
      </x:c>
      <x:c r="I101" s="14" t="n">
        <x:v>100</x:v>
      </x:c>
      <x:c r="J101" s="17" t="n">
        <x:v>38</x:v>
      </x:c>
      <x:c r="K101" s="17" t="n">
        <x:v>260</x:v>
      </x:c>
      <x:c r="L101" s="17" t="n">
        <x:f>K101-J101</x:f>
        <x:v>222</x:v>
      </x:c>
      <x:c r="M101" s="14" t="str">
        <x:v>Yes</x:v>
      </x:c>
      <x:c r="N101" s="14" t="str">
        <x:v>gate</x:v>
      </x:c>
      <x:c r="O101" s="19" t="str">
        <x:v>6m perimeter gate; double leaves; manual F operation, no power.</x:v>
      </x:c>
    </x:row>
    <x:row r="102" ht="46" customHeight="1">
      <x:c r="A102" s="15" t="n">
        <x:v>94</x:v>
      </x:c>
      <x:c r="B102" s="15" t="str">
        <x:v>Stone-braced door wall</x:v>
      </x:c>
      <x:c r="C102" s="15" t="str">
        <x:v>Buildings</x:v>
      </x:c>
      <x:c r="D102" s="15" t="n">
        <x:v>2</x:v>
      </x:c>
      <x:c r="E102" s="15" t="str">
        <x:v>door</x:v>
      </x:c>
      <x:c r="F102" s="16" t="n">
        <x:v>3</x:v>
      </x:c>
      <x:c r="G102" s="16" t="n">
        <x:v>2.5</x:v>
      </x:c>
      <x:c r="H102" s="16" t="n">
        <x:v>0.2</x:v>
      </x:c>
      <x:c r="I102" s="15" t="n">
        <x:v>180</x:v>
      </x:c>
      <x:c r="J102" s="16" t="n">
        <x:v>18</x:v>
      </x:c>
      <x:c r="K102" s="16" t="n">
        <x:v>260</x:v>
      </x:c>
      <x:c r="L102" s="16" t="n">
        <x:f>K102-J102</x:f>
        <x:v>242</x:v>
      </x:c>
      <x:c r="M102" s="15" t="str">
        <x:v>Yes</x:v>
      </x:c>
      <x:c r="N102" s="15" t="str">
        <x:v>doorway</x:v>
      </x:c>
      <x:c r="O102" s="18" t="str">
        <x:v>Wall with hinged door; manual F operation, no power.</x:v>
      </x:c>
    </x:row>
    <x:row r="103" ht="46" customHeight="1">
      <x:c r="A103" s="14" t="n">
        <x:v>95</x:v>
      </x:c>
      <x:c r="B103" s="14" t="str">
        <x:v>Stone-post timber gate</x:v>
      </x:c>
      <x:c r="C103" s="14" t="str">
        <x:v>Defenses</x:v>
      </x:c>
      <x:c r="D103" s="14" t="n">
        <x:v>2</x:v>
      </x:c>
      <x:c r="E103" s="14" t="str">
        <x:v>door</x:v>
      </x:c>
      <x:c r="F103" s="17" t="n">
        <x:v>6</x:v>
      </x:c>
      <x:c r="G103" s="17" t="n">
        <x:v>2.5</x:v>
      </x:c>
      <x:c r="H103" s="17" t="n">
        <x:v>0.3</x:v>
      </x:c>
      <x:c r="I103" s="14" t="n">
        <x:v>180</x:v>
      </x:c>
      <x:c r="J103" s="17" t="n">
        <x:v>46</x:v>
      </x:c>
      <x:c r="K103" s="17" t="n">
        <x:v>340</x:v>
      </x:c>
      <x:c r="L103" s="17" t="n">
        <x:f>K103-J103</x:f>
        <x:v>294</x:v>
      </x:c>
      <x:c r="M103" s="14" t="str">
        <x:v>Yes</x:v>
      </x:c>
      <x:c r="N103" s="14" t="str">
        <x:v>gate</x:v>
      </x:c>
      <x:c r="O103" s="19" t="str">
        <x:v>6m perimeter gate; double leaves; manual F operation, no power.</x:v>
      </x:c>
    </x:row>
    <x:row r="104" ht="46" customHeight="1">
      <x:c r="A104" s="15" t="n">
        <x:v>96</x:v>
      </x:c>
      <x:c r="B104" s="15" t="str">
        <x:v>Scrap steel door wall</x:v>
      </x:c>
      <x:c r="C104" s="15" t="str">
        <x:v>Buildings</x:v>
      </x:c>
      <x:c r="D104" s="15" t="n">
        <x:v>3</x:v>
      </x:c>
      <x:c r="E104" s="15" t="str">
        <x:v>door</x:v>
      </x:c>
      <x:c r="F104" s="16" t="n">
        <x:v>3</x:v>
      </x:c>
      <x:c r="G104" s="16" t="n">
        <x:v>2.5</x:v>
      </x:c>
      <x:c r="H104" s="16" t="n">
        <x:v>0.2</x:v>
      </x:c>
      <x:c r="I104" s="15" t="n">
        <x:v>300</x:v>
      </x:c>
      <x:c r="J104" s="16" t="n">
        <x:v>21</x:v>
      </x:c>
      <x:c r="K104" s="16" t="n">
        <x:v>340</x:v>
      </x:c>
      <x:c r="L104" s="16" t="n">
        <x:f>K104-J104</x:f>
        <x:v>319</x:v>
      </x:c>
      <x:c r="M104" s="15" t="str">
        <x:v>Yes</x:v>
      </x:c>
      <x:c r="N104" s="15" t="str">
        <x:v>doorway</x:v>
      </x:c>
      <x:c r="O104" s="18" t="str">
        <x:v>Wall with hinged door; manual F operation, no power.</x:v>
      </x:c>
    </x:row>
    <x:row r="105" ht="46" customHeight="1">
      <x:c r="A105" s="14" t="n">
        <x:v>97</x:v>
      </x:c>
      <x:c r="B105" s="14" t="str">
        <x:v>Scrap steel window wall</x:v>
      </x:c>
      <x:c r="C105" s="14" t="str">
        <x:v>Buildings</x:v>
      </x:c>
      <x:c r="D105" s="14" t="n">
        <x:v>3</x:v>
      </x:c>
      <x:c r="E105" s="14" t="str">
        <x:v>window</x:v>
      </x:c>
      <x:c r="F105" s="17" t="n">
        <x:v>3</x:v>
      </x:c>
      <x:c r="G105" s="17" t="n">
        <x:v>2.5</x:v>
      </x:c>
      <x:c r="H105" s="17" t="n">
        <x:v>0.2</x:v>
      </x:c>
      <x:c r="I105" s="14" t="n">
        <x:v>300</x:v>
      </x:c>
      <x:c r="J105" s="17" t="n">
        <x:v>21</x:v>
      </x:c>
      <x:c r="K105" s="17" t="n">
        <x:v>340</x:v>
      </x:c>
      <x:c r="L105" s="17" t="n">
        <x:f>K105-J105</x:f>
        <x:v>319</x:v>
      </x:c>
      <x:c r="M105" s="14" t="str">
        <x:v>Yes</x:v>
      </x:c>
      <x:c r="N105" s="14" t="str">
        <x:v>window</x:v>
      </x:c>
      <x:c r="O105" s="19" t="str">
        <x:v>Open firing aperture with a solid sill/frame; supports roof; advanced tiers add a mullion.</x:v>
      </x:c>
    </x:row>
    <x:row r="106" ht="46" customHeight="1">
      <x:c r="A106" s="15" t="n">
        <x:v>98</x:v>
      </x:c>
      <x:c r="B106" s="15" t="str">
        <x:v>Scrap steel perimeter gate</x:v>
      </x:c>
      <x:c r="C106" s="15" t="str">
        <x:v>Defenses</x:v>
      </x:c>
      <x:c r="D106" s="15" t="n">
        <x:v>3</x:v>
      </x:c>
      <x:c r="E106" s="15" t="str">
        <x:v>door</x:v>
      </x:c>
      <x:c r="F106" s="16" t="n">
        <x:v>6</x:v>
      </x:c>
      <x:c r="G106" s="16" t="n">
        <x:v>2.5</x:v>
      </x:c>
      <x:c r="H106" s="16" t="n">
        <x:v>0.3</x:v>
      </x:c>
      <x:c r="I106" s="15" t="n">
        <x:v>300</x:v>
      </x:c>
      <x:c r="J106" s="16" t="n">
        <x:v>54</x:v>
      </x:c>
      <x:c r="K106" s="16" t="n">
        <x:v>420</x:v>
      </x:c>
      <x:c r="L106" s="16" t="n">
        <x:f>K106-J106</x:f>
        <x:v>366</x:v>
      </x:c>
      <x:c r="M106" s="15" t="str">
        <x:v>Yes</x:v>
      </x:c>
      <x:c r="N106" s="15" t="str">
        <x:v>gate</x:v>
      </x:c>
      <x:c r="O106" s="18" t="str">
        <x:v>6m perimeter gate; double leaves; manual F operation, no power.</x:v>
      </x:c>
    </x:row>
    <x:row r="107" ht="46" customHeight="1">
      <x:c r="A107" s="14" t="n">
        <x:v>99</x:v>
      </x:c>
      <x:c r="B107" s="14" t="str">
        <x:v>Reinforced concrete door wall</x:v>
      </x:c>
      <x:c r="C107" s="14" t="str">
        <x:v>Buildings</x:v>
      </x:c>
      <x:c r="D107" s="14" t="n">
        <x:v>4</x:v>
      </x:c>
      <x:c r="E107" s="14" t="str">
        <x:v>door</x:v>
      </x:c>
      <x:c r="F107" s="17" t="n">
        <x:v>3</x:v>
      </x:c>
      <x:c r="G107" s="17" t="n">
        <x:v>2.5</x:v>
      </x:c>
      <x:c r="H107" s="17" t="n">
        <x:v>0.2</x:v>
      </x:c>
      <x:c r="I107" s="14" t="n">
        <x:v>460</x:v>
      </x:c>
      <x:c r="J107" s="17" t="n">
        <x:v>24</x:v>
      </x:c>
      <x:c r="K107" s="17" t="n">
        <x:v>420</x:v>
      </x:c>
      <x:c r="L107" s="17" t="n">
        <x:f>K107-J107</x:f>
        <x:v>396</x:v>
      </x:c>
      <x:c r="M107" s="14" t="str">
        <x:v>Yes</x:v>
      </x:c>
      <x:c r="N107" s="14" t="str">
        <x:v>doorway</x:v>
      </x:c>
      <x:c r="O107" s="19" t="str">
        <x:v>Wall with hinged door; manual F operation, no power.</x:v>
      </x:c>
    </x:row>
    <x:row r="108" ht="46" customHeight="1">
      <x:c r="A108" s="15" t="n">
        <x:v>100</x:v>
      </x:c>
      <x:c r="B108" s="15" t="str">
        <x:v>Reinforced concrete window wall</x:v>
      </x:c>
      <x:c r="C108" s="15" t="str">
        <x:v>Buildings</x:v>
      </x:c>
      <x:c r="D108" s="15" t="n">
        <x:v>4</x:v>
      </x:c>
      <x:c r="E108" s="15" t="str">
        <x:v>window</x:v>
      </x:c>
      <x:c r="F108" s="16" t="n">
        <x:v>3</x:v>
      </x:c>
      <x:c r="G108" s="16" t="n">
        <x:v>2.5</x:v>
      </x:c>
      <x:c r="H108" s="16" t="n">
        <x:v>0.2</x:v>
      </x:c>
      <x:c r="I108" s="15" t="n">
        <x:v>460</x:v>
      </x:c>
      <x:c r="J108" s="16" t="n">
        <x:v>24</x:v>
      </x:c>
      <x:c r="K108" s="16" t="n">
        <x:v>420</x:v>
      </x:c>
      <x:c r="L108" s="16" t="n">
        <x:f>K108-J108</x:f>
        <x:v>396</x:v>
      </x:c>
      <x:c r="M108" s="15" t="str">
        <x:v>Yes</x:v>
      </x:c>
      <x:c r="N108" s="15" t="str">
        <x:v>window</x:v>
      </x:c>
      <x:c r="O108" s="18" t="str">
        <x:v>Open firing aperture with a solid sill/frame; supports roof; advanced tiers add a mullion.</x:v>
      </x:c>
    </x:row>
    <x:row r="109" ht="46" customHeight="1">
      <x:c r="A109" s="14" t="n">
        <x:v>101</x:v>
      </x:c>
      <x:c r="B109" s="14" t="str">
        <x:v>Concrete bastion gate</x:v>
      </x:c>
      <x:c r="C109" s="14" t="str">
        <x:v>Defenses</x:v>
      </x:c>
      <x:c r="D109" s="14" t="n">
        <x:v>4</x:v>
      </x:c>
      <x:c r="E109" s="14" t="str">
        <x:v>door</x:v>
      </x:c>
      <x:c r="F109" s="17" t="n">
        <x:v>6</x:v>
      </x:c>
      <x:c r="G109" s="17" t="n">
        <x:v>2.5</x:v>
      </x:c>
      <x:c r="H109" s="17" t="n">
        <x:v>0.3</x:v>
      </x:c>
      <x:c r="I109" s="14" t="n">
        <x:v>460</x:v>
      </x:c>
      <x:c r="J109" s="17" t="n">
        <x:v>62</x:v>
      </x:c>
      <x:c r="K109" s="17" t="n">
        <x:v>500</x:v>
      </x:c>
      <x:c r="L109" s="17" t="n">
        <x:f>K109-J109</x:f>
        <x:v>438</x:v>
      </x:c>
      <x:c r="M109" s="14" t="str">
        <x:v>Yes</x:v>
      </x:c>
      <x:c r="N109" s="14" t="str">
        <x:v>gate</x:v>
      </x:c>
      <x:c r="O109" s="19" t="str">
        <x:v>6m perimeter gate; double leaves; manual F operation, no power.</x:v>
      </x:c>
    </x:row>
    <x:row r="110" ht="46" customHeight="1">
      <x:c r="A110" s="15" t="n">
        <x:v>102</x:v>
      </x:c>
      <x:c r="B110" s="15" t="str">
        <x:v>Military door wall</x:v>
      </x:c>
      <x:c r="C110" s="15" t="str">
        <x:v>Buildings</x:v>
      </x:c>
      <x:c r="D110" s="15" t="n">
        <x:v>5</x:v>
      </x:c>
      <x:c r="E110" s="15" t="str">
        <x:v>door</x:v>
      </x:c>
      <x:c r="F110" s="16" t="n">
        <x:v>3</x:v>
      </x:c>
      <x:c r="G110" s="16" t="n">
        <x:v>2.5</x:v>
      </x:c>
      <x:c r="H110" s="16" t="n">
        <x:v>0.2</x:v>
      </x:c>
      <x:c r="I110" s="15" t="n">
        <x:v>700</x:v>
      </x:c>
      <x:c r="J110" s="16" t="n">
        <x:v>27</x:v>
      </x:c>
      <x:c r="K110" s="16" t="n">
        <x:v>500</x:v>
      </x:c>
      <x:c r="L110" s="16" t="n">
        <x:f>K110-J110</x:f>
        <x:v>473</x:v>
      </x:c>
      <x:c r="M110" s="15" t="str">
        <x:v>Yes</x:v>
      </x:c>
      <x:c r="N110" s="15" t="str">
        <x:v>doorway</x:v>
      </x:c>
      <x:c r="O110" s="18" t="str">
        <x:v>Wall with hinged door; manual F operation, no power.</x:v>
      </x:c>
    </x:row>
    <x:row r="111" ht="46" customHeight="1">
      <x:c r="A111" s="14" t="n">
        <x:v>103</x:v>
      </x:c>
      <x:c r="B111" s="14" t="str">
        <x:v>Military window wall</x:v>
      </x:c>
      <x:c r="C111" s="14" t="str">
        <x:v>Buildings</x:v>
      </x:c>
      <x:c r="D111" s="14" t="n">
        <x:v>5</x:v>
      </x:c>
      <x:c r="E111" s="14" t="str">
        <x:v>window</x:v>
      </x:c>
      <x:c r="F111" s="17" t="n">
        <x:v>3</x:v>
      </x:c>
      <x:c r="G111" s="17" t="n">
        <x:v>2.5</x:v>
      </x:c>
      <x:c r="H111" s="17" t="n">
        <x:v>0.2</x:v>
      </x:c>
      <x:c r="I111" s="14" t="n">
        <x:v>700</x:v>
      </x:c>
      <x:c r="J111" s="17" t="n">
        <x:v>27</x:v>
      </x:c>
      <x:c r="K111" s="17" t="n">
        <x:v>500</x:v>
      </x:c>
      <x:c r="L111" s="17" t="n">
        <x:f>K111-J111</x:f>
        <x:v>473</x:v>
      </x:c>
      <x:c r="M111" s="14" t="str">
        <x:v>Yes</x:v>
      </x:c>
      <x:c r="N111" s="14" t="str">
        <x:v>window</x:v>
      </x:c>
      <x:c r="O111" s="19" t="str">
        <x:v>Open firing aperture with a solid sill/frame; supports roof; advanced tiers add a mullion.</x:v>
      </x:c>
    </x:row>
    <x:row r="112" ht="46" customHeight="1">
      <x:c r="A112" s="15" t="n">
        <x:v>104</x:v>
      </x:c>
      <x:c r="B112" s="15" t="str">
        <x:v>Military checkpoint gate</x:v>
      </x:c>
      <x:c r="C112" s="15" t="str">
        <x:v>Defenses</x:v>
      </x:c>
      <x:c r="D112" s="15" t="n">
        <x:v>5</x:v>
      </x:c>
      <x:c r="E112" s="15" t="str">
        <x:v>door</x:v>
      </x:c>
      <x:c r="F112" s="16" t="n">
        <x:v>6</x:v>
      </x:c>
      <x:c r="G112" s="16" t="n">
        <x:v>2.5</x:v>
      </x:c>
      <x:c r="H112" s="16" t="n">
        <x:v>0.3</x:v>
      </x:c>
      <x:c r="I112" s="15" t="n">
        <x:v>700</x:v>
      </x:c>
      <x:c r="J112" s="16" t="n">
        <x:v>70</x:v>
      </x:c>
      <x:c r="K112" s="16" t="n">
        <x:v>580</x:v>
      </x:c>
      <x:c r="L112" s="16" t="n">
        <x:f>K112-J112</x:f>
        <x:v>510</x:v>
      </x:c>
      <x:c r="M112" s="15" t="str">
        <x:v>Yes</x:v>
      </x:c>
      <x:c r="N112" s="15" t="str">
        <x:v>gate</x:v>
      </x:c>
      <x:c r="O112" s="18" t="str">
        <x:v>6m perimeter gate; double leaves; manual F operation, no power.</x:v>
      </x:c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</x:row>
    <x:row r="115">
      <x:c r="A115" s="20" t="str">
        <x:v>T1 rough timber; T2 stone-braced timber; T3 scrap steel; T4 reinforced concrete; T5 military construction.</x:v>
      </x:c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</x:row>
    <x:row r="116">
      <x:c r="A116" s="20" t="str">
        <x:v>Capacity less own weight is a simple arithmetic margin, not a guarantee of a safe span. The whole support chain is evaluated.</x:v>
      </x:c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</x:row>
    <x:row r="117">
      <x:c r="A117" s="20" t="str">
        <x:v>Ground anchor eligible means the piece can start a support chain if its footprint makes valid terrain contact; it does not mean ground-only.</x:v>
      </x:c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</x:row>
    <x:row r="118">
      <x:c r="A118" s="20" t="str">
        <x:v>Sources: game/Scripts/Logic/ExpeditionBuildingRules.cs; ExpeditionBlueprints.cs; game/Scripts/ExpeditionBaseSystems.cs; ExpeditionBlueprintModels.cs.</x:v>
      </x:c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</x:row>
  </x:sheetData>
  <x:pageMargins left="0.7" right="0.7" top="0.75" bottom="0.75" header="0.3" footer="0.3"/>
  <x:tableParts count="1">
    <x:tablePart xmlns:r="http://schemas.openxmlformats.org/officeDocument/2006/relationships" r:id="Rbaf797d97f074235"/>
  </x:tableParts>
</x:worksheet>
</file>

<file path=xl/worksheets/sheet2.xml><?xml version="1.0" encoding="utf-8"?>
<x:worksheet xmlns:x="http://schemas.openxmlformats.org/spreadsheetml/2006/main">
  <x:sheetPr>
    <x:tabColor rgb="FF26332C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" hidden="0" customWidth="1"/>
    <x:col min="2" max="2" width="34" hidden="0" customWidth="1"/>
    <x:col min="3" max="3" width="8" hidden="0" customWidth="1"/>
    <x:col min="4" max="4" width="18" hidden="0" customWidth="1"/>
    <x:col min="5" max="5" width="14" hidden="0" customWidth="1"/>
    <x:col min="6" max="6" width="23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34" hidden="0" customWidth="1"/>
    <x:col min="16" max="16" width="3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5" t="str">
        <x:v>Building materials and research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30" customHeight="1">
      <x:c r="A4" s="7" t="str">
        <x:v>Enter planned quantities in column D. The totals above the table update from the material cost per piece. Quantity starts at zero.</x:v>
      </x:c>
      <x:c r="B4" s="3"/>
      <x:c r="C4" s="3"/>
      <x:c r="D4" s="3"/>
      <x:c r="E4" s="3"/>
      <x:c r="F4" s="3"/>
      <x:c r="G4" s="3"/>
      <x:c r="H4" s="22" t="str">
        <x:v>Timber</x:v>
      </x:c>
      <x:c r="I4" s="22" t="str">
        <x:v>Stone</x:v>
      </x:c>
      <x:c r="J4" s="22" t="str">
        <x:v>Fiber</x:v>
      </x:c>
      <x:c r="K4" s="22" t="str">
        <x:v>Forest resin</x:v>
      </x:c>
      <x:c r="L4" s="22" t="str">
        <x:v>Alloy scrap</x:v>
      </x:c>
      <x:c r="M4" s="22" t="str">
        <x:v>Electronics</x:v>
      </x:c>
      <x:c r="N4" s="22" t="str">
        <x:v>Bioalloy</x:v>
      </x:c>
      <x:c r="O4" s="3"/>
      <x:c r="P4" s="3"/>
    </x:row>
    <x:row r="5">
      <x:c r="A5" s="21" t="str">
        <x:v>Planned material totals</x:v>
      </x:c>
      <x:c r="B5" s="3"/>
      <x:c r="C5" s="3"/>
      <x:c r="D5" s="3"/>
      <x:c r="E5" s="3"/>
      <x:c r="F5" s="3"/>
      <x:c r="G5" s="3"/>
      <x:c r="H5" s="24" t="n">
        <x:f>SUMPRODUCT($D$9:$D$113,H9:H113)</x:f>
        <x:v>0</x:v>
      </x:c>
      <x:c r="I5" s="24" t="n">
        <x:f>SUMPRODUCT($D$9:$D$113,I9:I113)</x:f>
        <x:v>0</x:v>
      </x:c>
      <x:c r="J5" s="24" t="n">
        <x:f>SUMPRODUCT($D$9:$D$113,J9:J113)</x:f>
        <x:v>0</x:v>
      </x:c>
      <x:c r="K5" s="24" t="n">
        <x:f>SUMPRODUCT($D$9:$D$113,K9:K113)</x:f>
        <x:v>0</x:v>
      </x:c>
      <x:c r="L5" s="24" t="n">
        <x:f>SUMPRODUCT($D$9:$D$113,L9:L113)</x:f>
        <x:v>0</x:v>
      </x:c>
      <x:c r="M5" s="24" t="n">
        <x:f>SUMPRODUCT($D$9:$D$113,M9:M113)</x:f>
        <x:v>0</x:v>
      </x:c>
      <x:c r="N5" s="24" t="n">
        <x:f>SUMPRODUCT($D$9:$D$113,N9:N113)</x:f>
        <x:v>0</x:v>
      </x:c>
      <x:c r="O5" s="3"/>
      <x:c r="P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36" customHeight="1">
      <x:c r="A8" s="13" t="str">
        <x:v>ID</x:v>
      </x:c>
      <x:c r="B8" s="13" t="str">
        <x:v>Building / piece</x:v>
      </x:c>
      <x:c r="C8" s="13" t="str">
        <x:v>Tier</x:v>
      </x:c>
      <x:c r="D8" s="13" t="str">
        <x:v>Planned quantity</x:v>
      </x:c>
      <x:c r="E8" s="13" t="str">
        <x:v>Workshop</x:v>
      </x:c>
      <x:c r="F8" s="13" t="str">
        <x:v>Listed research points</x:v>
      </x:c>
      <x:c r="G8" s="13" t="str">
        <x:v>Research family</x:v>
      </x:c>
      <x:c r="H8" s="13" t="str">
        <x:v>Timber</x:v>
      </x:c>
      <x:c r="I8" s="13" t="str">
        <x:v>Stone</x:v>
      </x:c>
      <x:c r="J8" s="13" t="str">
        <x:v>Fiber</x:v>
      </x:c>
      <x:c r="K8" s="13" t="str">
        <x:v>Forest resin</x:v>
      </x:c>
      <x:c r="L8" s="13" t="str">
        <x:v>Alloy scrap</x:v>
      </x:c>
      <x:c r="M8" s="13" t="str">
        <x:v>Electronics</x:v>
      </x:c>
      <x:c r="N8" s="13" t="str">
        <x:v>Bioalloy</x:v>
      </x:c>
      <x:c r="O8" s="13" t="str">
        <x:v>Prerequisite blueprint</x:v>
      </x:c>
      <x:c r="P8" s="13" t="str">
        <x:v>Unlock route</x:v>
      </x:c>
    </x:row>
    <x:row r="9" ht="34" customHeight="1">
      <x:c r="A9" s="15" t="n">
        <x:v>0</x:v>
      </x:c>
      <x:c r="B9" s="15" t="str">
        <x:v>Foundation</x:v>
      </x:c>
      <x:c r="C9" s="15" t="n">
        <x:v>1</x:v>
      </x:c>
      <x:c r="D9" s="26" t="n">
        <x:v>0</x:v>
      </x:c>
      <x:c r="E9" s="15" t="n">
        <x:v>0</x:v>
      </x:c>
      <x:c r="F9" s="15" t="n">
        <x:v>0</x:v>
      </x:c>
      <x:c r="G9" s="15" t="str">
        <x:v>Homesteader</x:v>
      </x:c>
      <x:c r="H9" s="15" t="n">
        <x:v>4</x:v>
      </x:c>
      <x:c r="I9" s="15" t="n">
        <x:v>2</x:v>
      </x:c>
      <x:c r="J9" s="15" t="n">
        <x:v>1</x:v>
      </x:c>
      <x:c r="K9" s="15" t="n">
        <x:v>0</x:v>
      </x:c>
      <x:c r="L9" s="15" t="n">
        <x:v>0</x:v>
      </x:c>
      <x:c r="M9" s="15" t="n">
        <x:v>0</x:v>
      </x:c>
      <x:c r="N9" s="15" t="n">
        <x:v>0</x:v>
      </x:c>
      <x:c r="O9" s="15" t="str">
        <x:v>None</x:v>
      </x:c>
      <x:c r="P9" s="15" t="str">
        <x:v>Free blueprint</x:v>
      </x:c>
    </x:row>
    <x:row r="10" ht="34" customHeight="1">
      <x:c r="A10" s="14" t="n">
        <x:v>1</x:v>
      </x:c>
      <x:c r="B10" s="14" t="str">
        <x:v>Floor</x:v>
      </x:c>
      <x:c r="C10" s="14" t="n">
        <x:v>1</x:v>
      </x:c>
      <x:c r="D10" s="26" t="n">
        <x:v>0</x:v>
      </x:c>
      <x:c r="E10" s="14" t="n">
        <x:v>0</x:v>
      </x:c>
      <x:c r="F10" s="14" t="n">
        <x:v>0</x:v>
      </x:c>
      <x:c r="G10" s="14" t="str">
        <x:v>Homesteader</x:v>
      </x:c>
      <x:c r="H10" s="14" t="n">
        <x:v>3</x:v>
      </x:c>
      <x:c r="I10" s="14" t="n">
        <x:v>0</x:v>
      </x:c>
      <x:c r="J10" s="14" t="n">
        <x:v>1</x:v>
      </x:c>
      <x:c r="K10" s="14" t="n">
        <x:v>0</x:v>
      </x:c>
      <x:c r="L10" s="14" t="n">
        <x:v>0</x:v>
      </x:c>
      <x:c r="M10" s="14" t="n">
        <x:v>0</x:v>
      </x:c>
      <x:c r="N10" s="14" t="n">
        <x:v>0</x:v>
      </x:c>
      <x:c r="O10" s="14" t="str">
        <x:v>None</x:v>
      </x:c>
      <x:c r="P10" s="14" t="str">
        <x:v>Free blueprint</x:v>
      </x:c>
    </x:row>
    <x:row r="11" ht="34" customHeight="1">
      <x:c r="A11" s="15" t="n">
        <x:v>2</x:v>
      </x:c>
      <x:c r="B11" s="15" t="str">
        <x:v>Wall</x:v>
      </x:c>
      <x:c r="C11" s="15" t="n">
        <x:v>1</x:v>
      </x:c>
      <x:c r="D11" s="26" t="n">
        <x:v>0</x:v>
      </x:c>
      <x:c r="E11" s="15" t="n">
        <x:v>0</x:v>
      </x:c>
      <x:c r="F11" s="15" t="n">
        <x:v>0</x:v>
      </x:c>
      <x:c r="G11" s="15" t="str">
        <x:v>Homesteader</x:v>
      </x:c>
      <x:c r="H11" s="15" t="n">
        <x:v>3</x:v>
      </x:c>
      <x:c r="I11" s="15" t="n">
        <x:v>0</x:v>
      </x:c>
      <x:c r="J11" s="15" t="n">
        <x:v>1</x:v>
      </x:c>
      <x:c r="K11" s="15" t="n">
        <x:v>0</x:v>
      </x:c>
      <x:c r="L11" s="15" t="n">
        <x:v>0</x:v>
      </x:c>
      <x:c r="M11" s="15" t="n">
        <x:v>0</x:v>
      </x:c>
      <x:c r="N11" s="15" t="n">
        <x:v>0</x:v>
      </x:c>
      <x:c r="O11" s="15" t="str">
        <x:v>None</x:v>
      </x:c>
      <x:c r="P11" s="15" t="str">
        <x:v>Free blueprint</x:v>
      </x:c>
    </x:row>
    <x:row r="12" ht="34" customHeight="1">
      <x:c r="A12" s="14" t="n">
        <x:v>3</x:v>
      </x:c>
      <x:c r="B12" s="14" t="str">
        <x:v>Half wall</x:v>
      </x:c>
      <x:c r="C12" s="14" t="n">
        <x:v>1</x:v>
      </x:c>
      <x:c r="D12" s="26" t="n">
        <x:v>0</x:v>
      </x:c>
      <x:c r="E12" s="14" t="n">
        <x:v>0</x:v>
      </x:c>
      <x:c r="F12" s="14" t="n">
        <x:v>0</x:v>
      </x:c>
      <x:c r="G12" s="14" t="str">
        <x:v>Homesteader</x:v>
      </x:c>
      <x:c r="H12" s="14" t="n">
        <x:v>2</x:v>
      </x:c>
      <x:c r="I12" s="14" t="n">
        <x:v>0</x:v>
      </x:c>
      <x:c r="J12" s="14" t="n">
        <x:v>1</x:v>
      </x:c>
      <x:c r="K12" s="14" t="n">
        <x:v>0</x:v>
      </x:c>
      <x:c r="L12" s="14" t="n">
        <x:v>0</x:v>
      </x:c>
      <x:c r="M12" s="14" t="n">
        <x:v>0</x:v>
      </x:c>
      <x:c r="N12" s="14" t="n">
        <x:v>0</x:v>
      </x:c>
      <x:c r="O12" s="14" t="str">
        <x:v>None</x:v>
      </x:c>
      <x:c r="P12" s="14" t="str">
        <x:v>Free blueprint</x:v>
      </x:c>
    </x:row>
    <x:row r="13" ht="34" customHeight="1">
      <x:c r="A13" s="15" t="n">
        <x:v>4</x:v>
      </x:c>
      <x:c r="B13" s="15" t="str">
        <x:v>Pillar</x:v>
      </x:c>
      <x:c r="C13" s="15" t="n">
        <x:v>1</x:v>
      </x:c>
      <x:c r="D13" s="26" t="n">
        <x:v>0</x:v>
      </x:c>
      <x:c r="E13" s="15" t="n">
        <x:v>0</x:v>
      </x:c>
      <x:c r="F13" s="15" t="n">
        <x:v>0</x:v>
      </x:c>
      <x:c r="G13" s="15" t="str">
        <x:v>Homesteader</x:v>
      </x:c>
      <x:c r="H13" s="15" t="n">
        <x:v>2</x:v>
      </x:c>
      <x:c r="I13" s="15" t="n">
        <x:v>0</x:v>
      </x:c>
      <x:c r="J13" s="15" t="n">
        <x:v>1</x:v>
      </x:c>
      <x:c r="K13" s="15" t="n">
        <x:v>0</x:v>
      </x:c>
      <x:c r="L13" s="15" t="n">
        <x:v>0</x:v>
      </x:c>
      <x:c r="M13" s="15" t="n">
        <x:v>0</x:v>
      </x:c>
      <x:c r="N13" s="15" t="n">
        <x:v>0</x:v>
      </x:c>
      <x:c r="O13" s="15" t="str">
        <x:v>None</x:v>
      </x:c>
      <x:c r="P13" s="15" t="str">
        <x:v>Free blueprint</x:v>
      </x:c>
    </x:row>
    <x:row r="14" ht="34" customHeight="1">
      <x:c r="A14" s="14" t="n">
        <x:v>5</x:v>
      </x:c>
      <x:c r="B14" s="14" t="str">
        <x:v>Beam</x:v>
      </x:c>
      <x:c r="C14" s="14" t="n">
        <x:v>1</x:v>
      </x:c>
      <x:c r="D14" s="26" t="n">
        <x:v>0</x:v>
      </x:c>
      <x:c r="E14" s="14" t="n">
        <x:v>0</x:v>
      </x:c>
      <x:c r="F14" s="14" t="n">
        <x:v>0</x:v>
      </x:c>
      <x:c r="G14" s="14" t="str">
        <x:v>Homesteader</x:v>
      </x:c>
      <x:c r="H14" s="14" t="n">
        <x:v>2</x:v>
      </x:c>
      <x:c r="I14" s="14" t="n">
        <x:v>0</x:v>
      </x:c>
      <x:c r="J14" s="14" t="n">
        <x:v>1</x:v>
      </x:c>
      <x:c r="K14" s="14" t="n">
        <x:v>0</x:v>
      </x:c>
      <x:c r="L14" s="14" t="n">
        <x:v>0</x:v>
      </x:c>
      <x:c r="M14" s="14" t="n">
        <x:v>0</x:v>
      </x:c>
      <x:c r="N14" s="14" t="n">
        <x:v>0</x:v>
      </x:c>
      <x:c r="O14" s="14" t="str">
        <x:v>None</x:v>
      </x:c>
      <x:c r="P14" s="14" t="str">
        <x:v>Free blueprint</x:v>
      </x:c>
    </x:row>
    <x:row r="15" ht="34" customHeight="1">
      <x:c r="A15" s="15" t="n">
        <x:v>6</x:v>
      </x:c>
      <x:c r="B15" s="15" t="str">
        <x:v>Stairs</x:v>
      </x:c>
      <x:c r="C15" s="15" t="n">
        <x:v>1</x:v>
      </x:c>
      <x:c r="D15" s="26" t="n">
        <x:v>0</x:v>
      </x:c>
      <x:c r="E15" s="15" t="n">
        <x:v>0</x:v>
      </x:c>
      <x:c r="F15" s="15" t="n">
        <x:v>0</x:v>
      </x:c>
      <x:c r="G15" s="15" t="str">
        <x:v>Homesteader</x:v>
      </x:c>
      <x:c r="H15" s="15" t="n">
        <x:v>5</x:v>
      </x:c>
      <x:c r="I15" s="15" t="n">
        <x:v>0</x:v>
      </x:c>
      <x:c r="J15" s="15" t="n">
        <x:v>1</x:v>
      </x:c>
      <x:c r="K15" s="15" t="n">
        <x:v>0</x:v>
      </x:c>
      <x:c r="L15" s="15" t="n">
        <x:v>0</x:v>
      </x:c>
      <x:c r="M15" s="15" t="n">
        <x:v>0</x:v>
      </x:c>
      <x:c r="N15" s="15" t="n">
        <x:v>0</x:v>
      </x:c>
      <x:c r="O15" s="15" t="str">
        <x:v>None</x:v>
      </x:c>
      <x:c r="P15" s="15" t="str">
        <x:v>Free blueprint</x:v>
      </x:c>
    </x:row>
    <x:row r="16" ht="34" customHeight="1">
      <x:c r="A16" s="14" t="n">
        <x:v>7</x:v>
      </x:c>
      <x:c r="B16" s="14" t="str">
        <x:v>Roof</x:v>
      </x:c>
      <x:c r="C16" s="14" t="n">
        <x:v>1</x:v>
      </x:c>
      <x:c r="D16" s="26" t="n">
        <x:v>0</x:v>
      </x:c>
      <x:c r="E16" s="14" t="n">
        <x:v>0</x:v>
      </x:c>
      <x:c r="F16" s="14" t="n">
        <x:v>0</x:v>
      </x:c>
      <x:c r="G16" s="14" t="str">
        <x:v>Homesteader</x:v>
      </x:c>
      <x:c r="H16" s="14" t="n">
        <x:v>3</x:v>
      </x:c>
      <x:c r="I16" s="14" t="n">
        <x:v>0</x:v>
      </x:c>
      <x:c r="J16" s="14" t="n">
        <x:v>1</x:v>
      </x:c>
      <x:c r="K16" s="14" t="n">
        <x:v>0</x:v>
      </x:c>
      <x:c r="L16" s="14" t="n">
        <x:v>0</x:v>
      </x:c>
      <x:c r="M16" s="14" t="n">
        <x:v>0</x:v>
      </x:c>
      <x:c r="N16" s="14" t="n">
        <x:v>0</x:v>
      </x:c>
      <x:c r="O16" s="14" t="str">
        <x:v>None</x:v>
      </x:c>
      <x:c r="P16" s="14" t="str">
        <x:v>Free blueprint</x:v>
      </x:c>
    </x:row>
    <x:row r="17" ht="34" customHeight="1">
      <x:c r="A17" s="15" t="n">
        <x:v>8</x:v>
      </x:c>
      <x:c r="B17" s="15" t="str">
        <x:v>Stone-braced foundation</x:v>
      </x:c>
      <x:c r="C17" s="15" t="n">
        <x:v>2</x:v>
      </x:c>
      <x:c r="D17" s="26" t="n">
        <x:v>0</x:v>
      </x:c>
      <x:c r="E17" s="15" t="n">
        <x:v>2</x:v>
      </x:c>
      <x:c r="F17" s="15" t="n">
        <x:v>2</x:v>
      </x:c>
      <x:c r="G17" s="15" t="str">
        <x:v>Homesteader</x:v>
      </x:c>
      <x:c r="H17" s="15" t="n">
        <x:v>4</x:v>
      </x:c>
      <x:c r="I17" s="15" t="n">
        <x:v>6</x:v>
      </x:c>
      <x:c r="J17" s="15" t="n">
        <x:v>0</x:v>
      </x:c>
      <x:c r="K17" s="15" t="n">
        <x:v>1</x:v>
      </x:c>
      <x:c r="L17" s="15" t="n">
        <x:v>0</x:v>
      </x:c>
      <x:c r="M17" s="15" t="n">
        <x:v>0</x:v>
      </x:c>
      <x:c r="N17" s="15" t="n">
        <x:v>0</x:v>
      </x:c>
      <x:c r="O17" s="15" t="str">
        <x:v>Foundation</x:v>
      </x:c>
      <x:c r="P17" s="15" t="str">
        <x:v>Research blueprint</x:v>
      </x:c>
    </x:row>
    <x:row r="18" ht="34" customHeight="1">
      <x:c r="A18" s="14" t="n">
        <x:v>9</x:v>
      </x:c>
      <x:c r="B18" s="14" t="str">
        <x:v>Stone-braced floor</x:v>
      </x:c>
      <x:c r="C18" s="14" t="n">
        <x:v>2</x:v>
      </x:c>
      <x:c r="D18" s="26" t="n">
        <x:v>0</x:v>
      </x:c>
      <x:c r="E18" s="14" t="n">
        <x:v>2</x:v>
      </x:c>
      <x:c r="F18" s="14" t="n">
        <x:v>2</x:v>
      </x:c>
      <x:c r="G18" s="14" t="str">
        <x:v>Homesteader</x:v>
      </x:c>
      <x:c r="H18" s="14" t="n">
        <x:v>3</x:v>
      </x:c>
      <x:c r="I18" s="14" t="n">
        <x:v>3</x:v>
      </x:c>
      <x:c r="J18" s="14" t="n">
        <x:v>0</x:v>
      </x:c>
      <x:c r="K18" s="14" t="n">
        <x:v>1</x:v>
      </x:c>
      <x:c r="L18" s="14" t="n">
        <x:v>0</x:v>
      </x:c>
      <x:c r="M18" s="14" t="n">
        <x:v>0</x:v>
      </x:c>
      <x:c r="N18" s="14" t="n">
        <x:v>0</x:v>
      </x:c>
      <x:c r="O18" s="14" t="str">
        <x:v>Floor</x:v>
      </x:c>
      <x:c r="P18" s="14" t="str">
        <x:v>Research blueprint</x:v>
      </x:c>
    </x:row>
    <x:row r="19" ht="34" customHeight="1">
      <x:c r="A19" s="15" t="n">
        <x:v>10</x:v>
      </x:c>
      <x:c r="B19" s="15" t="str">
        <x:v>Stone-braced wall</x:v>
      </x:c>
      <x:c r="C19" s="15" t="n">
        <x:v>2</x:v>
      </x:c>
      <x:c r="D19" s="26" t="n">
        <x:v>0</x:v>
      </x:c>
      <x:c r="E19" s="15" t="n">
        <x:v>2</x:v>
      </x:c>
      <x:c r="F19" s="15" t="n">
        <x:v>2</x:v>
      </x:c>
      <x:c r="G19" s="15" t="str">
        <x:v>Homesteader</x:v>
      </x:c>
      <x:c r="H19" s="15" t="n">
        <x:v>3</x:v>
      </x:c>
      <x:c r="I19" s="15" t="n">
        <x:v>3</x:v>
      </x:c>
      <x:c r="J19" s="15" t="n">
        <x:v>0</x:v>
      </x:c>
      <x:c r="K19" s="15" t="n">
        <x:v>1</x:v>
      </x:c>
      <x:c r="L19" s="15" t="n">
        <x:v>0</x:v>
      </x:c>
      <x:c r="M19" s="15" t="n">
        <x:v>0</x:v>
      </x:c>
      <x:c r="N19" s="15" t="n">
        <x:v>0</x:v>
      </x:c>
      <x:c r="O19" s="15" t="str">
        <x:v>Wall</x:v>
      </x:c>
      <x:c r="P19" s="15" t="str">
        <x:v>Research blueprint</x:v>
      </x:c>
    </x:row>
    <x:row r="20" ht="34" customHeight="1">
      <x:c r="A20" s="14" t="n">
        <x:v>11</x:v>
      </x:c>
      <x:c r="B20" s="14" t="str">
        <x:v>Stone-braced half wall</x:v>
      </x:c>
      <x:c r="C20" s="14" t="n">
        <x:v>2</x:v>
      </x:c>
      <x:c r="D20" s="26" t="n">
        <x:v>0</x:v>
      </x:c>
      <x:c r="E20" s="14" t="n">
        <x:v>2</x:v>
      </x:c>
      <x:c r="F20" s="14" t="n">
        <x:v>2</x:v>
      </x:c>
      <x:c r="G20" s="14" t="str">
        <x:v>Homesteader</x:v>
      </x:c>
      <x:c r="H20" s="14" t="n">
        <x:v>2</x:v>
      </x:c>
      <x:c r="I20" s="14" t="n">
        <x:v>3</x:v>
      </x:c>
      <x:c r="J20" s="14" t="n">
        <x:v>0</x:v>
      </x:c>
      <x:c r="K20" s="14" t="n">
        <x:v>1</x:v>
      </x:c>
      <x:c r="L20" s="14" t="n">
        <x:v>0</x:v>
      </x:c>
      <x:c r="M20" s="14" t="n">
        <x:v>0</x:v>
      </x:c>
      <x:c r="N20" s="14" t="n">
        <x:v>0</x:v>
      </x:c>
      <x:c r="O20" s="14" t="str">
        <x:v>Half wall</x:v>
      </x:c>
      <x:c r="P20" s="14" t="str">
        <x:v>Research blueprint</x:v>
      </x:c>
    </x:row>
    <x:row r="21" ht="34" customHeight="1">
      <x:c r="A21" s="15" t="n">
        <x:v>12</x:v>
      </x:c>
      <x:c r="B21" s="15" t="str">
        <x:v>Stone-braced pillar</x:v>
      </x:c>
      <x:c r="C21" s="15" t="n">
        <x:v>2</x:v>
      </x:c>
      <x:c r="D21" s="26" t="n">
        <x:v>0</x:v>
      </x:c>
      <x:c r="E21" s="15" t="n">
        <x:v>2</x:v>
      </x:c>
      <x:c r="F21" s="15" t="n">
        <x:v>2</x:v>
      </x:c>
      <x:c r="G21" s="15" t="str">
        <x:v>Homesteader</x:v>
      </x:c>
      <x:c r="H21" s="15" t="n">
        <x:v>2</x:v>
      </x:c>
      <x:c r="I21" s="15" t="n">
        <x:v>3</x:v>
      </x:c>
      <x:c r="J21" s="15" t="n">
        <x:v>0</x:v>
      </x:c>
      <x:c r="K21" s="15" t="n">
        <x:v>1</x:v>
      </x:c>
      <x:c r="L21" s="15" t="n">
        <x:v>0</x:v>
      </x:c>
      <x:c r="M21" s="15" t="n">
        <x:v>0</x:v>
      </x:c>
      <x:c r="N21" s="15" t="n">
        <x:v>0</x:v>
      </x:c>
      <x:c r="O21" s="15" t="str">
        <x:v>Pillar</x:v>
      </x:c>
      <x:c r="P21" s="15" t="str">
        <x:v>Research blueprint</x:v>
      </x:c>
    </x:row>
    <x:row r="22" ht="34" customHeight="1">
      <x:c r="A22" s="14" t="n">
        <x:v>13</x:v>
      </x:c>
      <x:c r="B22" s="14" t="str">
        <x:v>Stone-braced beam</x:v>
      </x:c>
      <x:c r="C22" s="14" t="n">
        <x:v>2</x:v>
      </x:c>
      <x:c r="D22" s="26" t="n">
        <x:v>0</x:v>
      </x:c>
      <x:c r="E22" s="14" t="n">
        <x:v>2</x:v>
      </x:c>
      <x:c r="F22" s="14" t="n">
        <x:v>2</x:v>
      </x:c>
      <x:c r="G22" s="14" t="str">
        <x:v>Homesteader</x:v>
      </x:c>
      <x:c r="H22" s="14" t="n">
        <x:v>2</x:v>
      </x:c>
      <x:c r="I22" s="14" t="n">
        <x:v>3</x:v>
      </x:c>
      <x:c r="J22" s="14" t="n">
        <x:v>0</x:v>
      </x:c>
      <x:c r="K22" s="14" t="n">
        <x:v>1</x:v>
      </x:c>
      <x:c r="L22" s="14" t="n">
        <x:v>0</x:v>
      </x:c>
      <x:c r="M22" s="14" t="n">
        <x:v>0</x:v>
      </x:c>
      <x:c r="N22" s="14" t="n">
        <x:v>0</x:v>
      </x:c>
      <x:c r="O22" s="14" t="str">
        <x:v>Beam</x:v>
      </x:c>
      <x:c r="P22" s="14" t="str">
        <x:v>Research blueprint</x:v>
      </x:c>
    </x:row>
    <x:row r="23" ht="34" customHeight="1">
      <x:c r="A23" s="15" t="n">
        <x:v>14</x:v>
      </x:c>
      <x:c r="B23" s="15" t="str">
        <x:v>Stone-braced stairs</x:v>
      </x:c>
      <x:c r="C23" s="15" t="n">
        <x:v>2</x:v>
      </x:c>
      <x:c r="D23" s="26" t="n">
        <x:v>0</x:v>
      </x:c>
      <x:c r="E23" s="15" t="n">
        <x:v>2</x:v>
      </x:c>
      <x:c r="F23" s="15" t="n">
        <x:v>2</x:v>
      </x:c>
      <x:c r="G23" s="15" t="str">
        <x:v>Homesteader</x:v>
      </x:c>
      <x:c r="H23" s="15" t="n">
        <x:v>5</x:v>
      </x:c>
      <x:c r="I23" s="15" t="n">
        <x:v>3</x:v>
      </x:c>
      <x:c r="J23" s="15" t="n">
        <x:v>0</x:v>
      </x:c>
      <x:c r="K23" s="15" t="n">
        <x:v>1</x:v>
      </x:c>
      <x:c r="L23" s="15" t="n">
        <x:v>0</x:v>
      </x:c>
      <x:c r="M23" s="15" t="n">
        <x:v>0</x:v>
      </x:c>
      <x:c r="N23" s="15" t="n">
        <x:v>0</x:v>
      </x:c>
      <x:c r="O23" s="15" t="str">
        <x:v>Stairs</x:v>
      </x:c>
      <x:c r="P23" s="15" t="str">
        <x:v>Research blueprint</x:v>
      </x:c>
    </x:row>
    <x:row r="24" ht="34" customHeight="1">
      <x:c r="A24" s="14" t="n">
        <x:v>15</x:v>
      </x:c>
      <x:c r="B24" s="14" t="str">
        <x:v>Stone-braced roof</x:v>
      </x:c>
      <x:c r="C24" s="14" t="n">
        <x:v>2</x:v>
      </x:c>
      <x:c r="D24" s="26" t="n">
        <x:v>0</x:v>
      </x:c>
      <x:c r="E24" s="14" t="n">
        <x:v>2</x:v>
      </x:c>
      <x:c r="F24" s="14" t="n">
        <x:v>2</x:v>
      </x:c>
      <x:c r="G24" s="14" t="str">
        <x:v>Homesteader</x:v>
      </x:c>
      <x:c r="H24" s="14" t="n">
        <x:v>3</x:v>
      </x:c>
      <x:c r="I24" s="14" t="n">
        <x:v>3</x:v>
      </x:c>
      <x:c r="J24" s="14" t="n">
        <x:v>0</x:v>
      </x:c>
      <x:c r="K24" s="14" t="n">
        <x:v>1</x:v>
      </x:c>
      <x:c r="L24" s="14" t="n">
        <x:v>0</x:v>
      </x:c>
      <x:c r="M24" s="14" t="n">
        <x:v>0</x:v>
      </x:c>
      <x:c r="N24" s="14" t="n">
        <x:v>0</x:v>
      </x:c>
      <x:c r="O24" s="14" t="str">
        <x:v>Roof</x:v>
      </x:c>
      <x:c r="P24" s="14" t="str">
        <x:v>Research blueprint</x:v>
      </x:c>
    </x:row>
    <x:row r="25" ht="34" customHeight="1">
      <x:c r="A25" s="15" t="n">
        <x:v>16</x:v>
      </x:c>
      <x:c r="B25" s="15" t="str">
        <x:v>Scrap steel foundation</x:v>
      </x:c>
      <x:c r="C25" s="15" t="n">
        <x:v>3</x:v>
      </x:c>
      <x:c r="D25" s="26" t="n">
        <x:v>0</x:v>
      </x:c>
      <x:c r="E25" s="15" t="n">
        <x:v>3</x:v>
      </x:c>
      <x:c r="F25" s="15" t="n">
        <x:v>3</x:v>
      </x:c>
      <x:c r="G25" s="15" t="str">
        <x:v>Homesteader</x:v>
      </x:c>
      <x:c r="H25" s="15" t="n">
        <x:v>2</x:v>
      </x:c>
      <x:c r="I25" s="15" t="n">
        <x:v>0</x:v>
      </x:c>
      <x:c r="J25" s="15" t="n">
        <x:v>0</x:v>
      </x:c>
      <x:c r="K25" s="15" t="n">
        <x:v>0</x:v>
      </x:c>
      <x:c r="L25" s="15" t="n">
        <x:v>4</x:v>
      </x:c>
      <x:c r="M25" s="15" t="n">
        <x:v>0</x:v>
      </x:c>
      <x:c r="N25" s="15" t="n">
        <x:v>0</x:v>
      </x:c>
      <x:c r="O25" s="15" t="str">
        <x:v>Stone-braced foundation</x:v>
      </x:c>
      <x:c r="P25" s="15" t="str">
        <x:v>Research blueprint</x:v>
      </x:c>
    </x:row>
    <x:row r="26" ht="34" customHeight="1">
      <x:c r="A26" s="14" t="n">
        <x:v>17</x:v>
      </x:c>
      <x:c r="B26" s="14" t="str">
        <x:v>Scrap steel floor</x:v>
      </x:c>
      <x:c r="C26" s="14" t="n">
        <x:v>3</x:v>
      </x:c>
      <x:c r="D26" s="26" t="n">
        <x:v>0</x:v>
      </x:c>
      <x:c r="E26" s="14" t="n">
        <x:v>3</x:v>
      </x:c>
      <x:c r="F26" s="14" t="n">
        <x:v>3</x:v>
      </x:c>
      <x:c r="G26" s="14" t="str">
        <x:v>Homesteader</x:v>
      </x:c>
      <x:c r="H26" s="14" t="n">
        <x:v>2</x:v>
      </x:c>
      <x:c r="I26" s="14" t="n">
        <x:v>0</x:v>
      </x:c>
      <x:c r="J26" s="14" t="n">
        <x:v>0</x:v>
      </x:c>
      <x:c r="K26" s="14" t="n">
        <x:v>0</x:v>
      </x:c>
      <x:c r="L26" s="14" t="n">
        <x:v>4</x:v>
      </x:c>
      <x:c r="M26" s="14" t="n">
        <x:v>0</x:v>
      </x:c>
      <x:c r="N26" s="14" t="n">
        <x:v>0</x:v>
      </x:c>
      <x:c r="O26" s="14" t="str">
        <x:v>Stone-braced floor</x:v>
      </x:c>
      <x:c r="P26" s="14" t="str">
        <x:v>Research blueprint</x:v>
      </x:c>
    </x:row>
    <x:row r="27" ht="34" customHeight="1">
      <x:c r="A27" s="15" t="n">
        <x:v>18</x:v>
      </x:c>
      <x:c r="B27" s="15" t="str">
        <x:v>Scrap steel wall</x:v>
      </x:c>
      <x:c r="C27" s="15" t="n">
        <x:v>3</x:v>
      </x:c>
      <x:c r="D27" s="26" t="n">
        <x:v>0</x:v>
      </x:c>
      <x:c r="E27" s="15" t="n">
        <x:v>3</x:v>
      </x:c>
      <x:c r="F27" s="15" t="n">
        <x:v>3</x:v>
      </x:c>
      <x:c r="G27" s="15" t="str">
        <x:v>Homesteader</x:v>
      </x:c>
      <x:c r="H27" s="15" t="n">
        <x:v>2</x:v>
      </x:c>
      <x:c r="I27" s="15" t="n">
        <x:v>0</x:v>
      </x:c>
      <x:c r="J27" s="15" t="n">
        <x:v>0</x:v>
      </x:c>
      <x:c r="K27" s="15" t="n">
        <x:v>0</x:v>
      </x:c>
      <x:c r="L27" s="15" t="n">
        <x:v>4</x:v>
      </x:c>
      <x:c r="M27" s="15" t="n">
        <x:v>0</x:v>
      </x:c>
      <x:c r="N27" s="15" t="n">
        <x:v>0</x:v>
      </x:c>
      <x:c r="O27" s="15" t="str">
        <x:v>Stone-braced wall</x:v>
      </x:c>
      <x:c r="P27" s="15" t="str">
        <x:v>Research blueprint</x:v>
      </x:c>
    </x:row>
    <x:row r="28" ht="34" customHeight="1">
      <x:c r="A28" s="14" t="n">
        <x:v>19</x:v>
      </x:c>
      <x:c r="B28" s="14" t="str">
        <x:v>Scrap steel half wall</x:v>
      </x:c>
      <x:c r="C28" s="14" t="n">
        <x:v>3</x:v>
      </x:c>
      <x:c r="D28" s="26" t="n">
        <x:v>0</x:v>
      </x:c>
      <x:c r="E28" s="14" t="n">
        <x:v>3</x:v>
      </x:c>
      <x:c r="F28" s="14" t="n">
        <x:v>3</x:v>
      </x:c>
      <x:c r="G28" s="14" t="str">
        <x:v>Homesteader</x:v>
      </x:c>
      <x:c r="H28" s="14" t="n">
        <x:v>2</x:v>
      </x:c>
      <x:c r="I28" s="14" t="n">
        <x:v>0</x:v>
      </x:c>
      <x:c r="J28" s="14" t="n">
        <x:v>0</x:v>
      </x:c>
      <x:c r="K28" s="14" t="n">
        <x:v>0</x:v>
      </x:c>
      <x:c r="L28" s="14" t="n">
        <x:v>4</x:v>
      </x:c>
      <x:c r="M28" s="14" t="n">
        <x:v>0</x:v>
      </x:c>
      <x:c r="N28" s="14" t="n">
        <x:v>0</x:v>
      </x:c>
      <x:c r="O28" s="14" t="str">
        <x:v>Stone-braced half wall</x:v>
      </x:c>
      <x:c r="P28" s="14" t="str">
        <x:v>Research blueprint</x:v>
      </x:c>
    </x:row>
    <x:row r="29" ht="34" customHeight="1">
      <x:c r="A29" s="15" t="n">
        <x:v>20</x:v>
      </x:c>
      <x:c r="B29" s="15" t="str">
        <x:v>Scrap steel pillar</x:v>
      </x:c>
      <x:c r="C29" s="15" t="n">
        <x:v>3</x:v>
      </x:c>
      <x:c r="D29" s="26" t="n">
        <x:v>0</x:v>
      </x:c>
      <x:c r="E29" s="15" t="n">
        <x:v>3</x:v>
      </x:c>
      <x:c r="F29" s="15" t="n">
        <x:v>3</x:v>
      </x:c>
      <x:c r="G29" s="15" t="str">
        <x:v>Homesteader</x:v>
      </x:c>
      <x:c r="H29" s="15" t="n">
        <x:v>2</x:v>
      </x:c>
      <x:c r="I29" s="15" t="n">
        <x:v>0</x:v>
      </x:c>
      <x:c r="J29" s="15" t="n">
        <x:v>0</x:v>
      </x:c>
      <x:c r="K29" s="15" t="n">
        <x:v>0</x:v>
      </x:c>
      <x:c r="L29" s="15" t="n">
        <x:v>4</x:v>
      </x:c>
      <x:c r="M29" s="15" t="n">
        <x:v>0</x:v>
      </x:c>
      <x:c r="N29" s="15" t="n">
        <x:v>0</x:v>
      </x:c>
      <x:c r="O29" s="15" t="str">
        <x:v>Stone-braced pillar</x:v>
      </x:c>
      <x:c r="P29" s="15" t="str">
        <x:v>Research blueprint</x:v>
      </x:c>
    </x:row>
    <x:row r="30" ht="34" customHeight="1">
      <x:c r="A30" s="14" t="n">
        <x:v>21</x:v>
      </x:c>
      <x:c r="B30" s="14" t="str">
        <x:v>Scrap steel beam</x:v>
      </x:c>
      <x:c r="C30" s="14" t="n">
        <x:v>3</x:v>
      </x:c>
      <x:c r="D30" s="26" t="n">
        <x:v>0</x:v>
      </x:c>
      <x:c r="E30" s="14" t="n">
        <x:v>3</x:v>
      </x:c>
      <x:c r="F30" s="14" t="n">
        <x:v>3</x:v>
      </x:c>
      <x:c r="G30" s="14" t="str">
        <x:v>Homesteader</x:v>
      </x:c>
      <x:c r="H30" s="14" t="n">
        <x:v>2</x:v>
      </x:c>
      <x:c r="I30" s="14" t="n">
        <x:v>0</x:v>
      </x:c>
      <x:c r="J30" s="14" t="n">
        <x:v>0</x:v>
      </x:c>
      <x:c r="K30" s="14" t="n">
        <x:v>0</x:v>
      </x:c>
      <x:c r="L30" s="14" t="n">
        <x:v>4</x:v>
      </x:c>
      <x:c r="M30" s="14" t="n">
        <x:v>0</x:v>
      </x:c>
      <x:c r="N30" s="14" t="n">
        <x:v>0</x:v>
      </x:c>
      <x:c r="O30" s="14" t="str">
        <x:v>Stone-braced beam</x:v>
      </x:c>
      <x:c r="P30" s="14" t="str">
        <x:v>Research blueprint</x:v>
      </x:c>
    </x:row>
    <x:row r="31" ht="34" customHeight="1">
      <x:c r="A31" s="15" t="n">
        <x:v>22</x:v>
      </x:c>
      <x:c r="B31" s="15" t="str">
        <x:v>Scrap steel stairs</x:v>
      </x:c>
      <x:c r="C31" s="15" t="n">
        <x:v>3</x:v>
      </x:c>
      <x:c r="D31" s="26" t="n">
        <x:v>0</x:v>
      </x:c>
      <x:c r="E31" s="15" t="n">
        <x:v>3</x:v>
      </x:c>
      <x:c r="F31" s="15" t="n">
        <x:v>3</x:v>
      </x:c>
      <x:c r="G31" s="15" t="str">
        <x:v>Homesteader</x:v>
      </x:c>
      <x:c r="H31" s="15" t="n">
        <x:v>2</x:v>
      </x:c>
      <x:c r="I31" s="15" t="n">
        <x:v>0</x:v>
      </x:c>
      <x:c r="J31" s="15" t="n">
        <x:v>0</x:v>
      </x:c>
      <x:c r="K31" s="15" t="n">
        <x:v>0</x:v>
      </x:c>
      <x:c r="L31" s="15" t="n">
        <x:v>4</x:v>
      </x:c>
      <x:c r="M31" s="15" t="n">
        <x:v>0</x:v>
      </x:c>
      <x:c r="N31" s="15" t="n">
        <x:v>0</x:v>
      </x:c>
      <x:c r="O31" s="15" t="str">
        <x:v>Stone-braced stairs</x:v>
      </x:c>
      <x:c r="P31" s="15" t="str">
        <x:v>Research blueprint</x:v>
      </x:c>
    </x:row>
    <x:row r="32" ht="34" customHeight="1">
      <x:c r="A32" s="14" t="n">
        <x:v>23</x:v>
      </x:c>
      <x:c r="B32" s="14" t="str">
        <x:v>Scrap steel roof</x:v>
      </x:c>
      <x:c r="C32" s="14" t="n">
        <x:v>3</x:v>
      </x:c>
      <x:c r="D32" s="26" t="n">
        <x:v>0</x:v>
      </x:c>
      <x:c r="E32" s="14" t="n">
        <x:v>3</x:v>
      </x:c>
      <x:c r="F32" s="14" t="n">
        <x:v>3</x:v>
      </x:c>
      <x:c r="G32" s="14" t="str">
        <x:v>Homesteader</x:v>
      </x:c>
      <x:c r="H32" s="14" t="n">
        <x:v>2</x:v>
      </x:c>
      <x:c r="I32" s="14" t="n">
        <x:v>0</x:v>
      </x:c>
      <x:c r="J32" s="14" t="n">
        <x:v>0</x:v>
      </x:c>
      <x:c r="K32" s="14" t="n">
        <x:v>0</x:v>
      </x:c>
      <x:c r="L32" s="14" t="n">
        <x:v>4</x:v>
      </x:c>
      <x:c r="M32" s="14" t="n">
        <x:v>0</x:v>
      </x:c>
      <x:c r="N32" s="14" t="n">
        <x:v>0</x:v>
      </x:c>
      <x:c r="O32" s="14" t="str">
        <x:v>Stone-braced roof</x:v>
      </x:c>
      <x:c r="P32" s="14" t="str">
        <x:v>Research blueprint</x:v>
      </x:c>
    </x:row>
    <x:row r="33" ht="34" customHeight="1">
      <x:c r="A33" s="15" t="n">
        <x:v>24</x:v>
      </x:c>
      <x:c r="B33" s="15" t="str">
        <x:v>Reinforced concrete foundation</x:v>
      </x:c>
      <x:c r="C33" s="15" t="n">
        <x:v>4</x:v>
      </x:c>
      <x:c r="D33" s="26" t="n">
        <x:v>0</x:v>
      </x:c>
      <x:c r="E33" s="15" t="n">
        <x:v>4</x:v>
      </x:c>
      <x:c r="F33" s="15" t="n">
        <x:v>4</x:v>
      </x:c>
      <x:c r="G33" s="15" t="str">
        <x:v>Homesteader</x:v>
      </x:c>
      <x:c r="H33" s="15" t="n">
        <x:v>1</x:v>
      </x:c>
      <x:c r="I33" s="15" t="n">
        <x:v>6</x:v>
      </x:c>
      <x:c r="J33" s="15" t="n">
        <x:v>0</x:v>
      </x:c>
      <x:c r="K33" s="15" t="n">
        <x:v>0</x:v>
      </x:c>
      <x:c r="L33" s="15" t="n">
        <x:v>3</x:v>
      </x:c>
      <x:c r="M33" s="15" t="n">
        <x:v>1</x:v>
      </x:c>
      <x:c r="N33" s="15" t="n">
        <x:v>0</x:v>
      </x:c>
      <x:c r="O33" s="15" t="str">
        <x:v>Scrap steel foundation</x:v>
      </x:c>
      <x:c r="P33" s="15" t="str">
        <x:v>Research blueprint</x:v>
      </x:c>
    </x:row>
    <x:row r="34" ht="34" customHeight="1">
      <x:c r="A34" s="14" t="n">
        <x:v>25</x:v>
      </x:c>
      <x:c r="B34" s="14" t="str">
        <x:v>Reinforced concrete floor</x:v>
      </x:c>
      <x:c r="C34" s="14" t="n">
        <x:v>4</x:v>
      </x:c>
      <x:c r="D34" s="26" t="n">
        <x:v>0</x:v>
      </x:c>
      <x:c r="E34" s="14" t="n">
        <x:v>4</x:v>
      </x:c>
      <x:c r="F34" s="14" t="n">
        <x:v>4</x:v>
      </x:c>
      <x:c r="G34" s="14" t="str">
        <x:v>Homesteader</x:v>
      </x:c>
      <x:c r="H34" s="14" t="n">
        <x:v>1</x:v>
      </x:c>
      <x:c r="I34" s="14" t="n">
        <x:v>6</x:v>
      </x:c>
      <x:c r="J34" s="14" t="n">
        <x:v>0</x:v>
      </x:c>
      <x:c r="K34" s="14" t="n">
        <x:v>0</x:v>
      </x:c>
      <x:c r="L34" s="14" t="n">
        <x:v>3</x:v>
      </x:c>
      <x:c r="M34" s="14" t="n">
        <x:v>1</x:v>
      </x:c>
      <x:c r="N34" s="14" t="n">
        <x:v>0</x:v>
      </x:c>
      <x:c r="O34" s="14" t="str">
        <x:v>Scrap steel floor</x:v>
      </x:c>
      <x:c r="P34" s="14" t="str">
        <x:v>Research blueprint</x:v>
      </x:c>
    </x:row>
    <x:row r="35" ht="34" customHeight="1">
      <x:c r="A35" s="15" t="n">
        <x:v>26</x:v>
      </x:c>
      <x:c r="B35" s="15" t="str">
        <x:v>Reinforced concrete wall</x:v>
      </x:c>
      <x:c r="C35" s="15" t="n">
        <x:v>4</x:v>
      </x:c>
      <x:c r="D35" s="26" t="n">
        <x:v>0</x:v>
      </x:c>
      <x:c r="E35" s="15" t="n">
        <x:v>4</x:v>
      </x:c>
      <x:c r="F35" s="15" t="n">
        <x:v>4</x:v>
      </x:c>
      <x:c r="G35" s="15" t="str">
        <x:v>Homesteader</x:v>
      </x:c>
      <x:c r="H35" s="15" t="n">
        <x:v>1</x:v>
      </x:c>
      <x:c r="I35" s="15" t="n">
        <x:v>6</x:v>
      </x:c>
      <x:c r="J35" s="15" t="n">
        <x:v>0</x:v>
      </x:c>
      <x:c r="K35" s="15" t="n">
        <x:v>0</x:v>
      </x:c>
      <x:c r="L35" s="15" t="n">
        <x:v>3</x:v>
      </x:c>
      <x:c r="M35" s="15" t="n">
        <x:v>1</x:v>
      </x:c>
      <x:c r="N35" s="15" t="n">
        <x:v>0</x:v>
      </x:c>
      <x:c r="O35" s="15" t="str">
        <x:v>Scrap steel wall</x:v>
      </x:c>
      <x:c r="P35" s="15" t="str">
        <x:v>Research blueprint</x:v>
      </x:c>
    </x:row>
    <x:row r="36" ht="34" customHeight="1">
      <x:c r="A36" s="14" t="n">
        <x:v>27</x:v>
      </x:c>
      <x:c r="B36" s="14" t="str">
        <x:v>Reinforced concrete half wall</x:v>
      </x:c>
      <x:c r="C36" s="14" t="n">
        <x:v>4</x:v>
      </x:c>
      <x:c r="D36" s="26" t="n">
        <x:v>0</x:v>
      </x:c>
      <x:c r="E36" s="14" t="n">
        <x:v>4</x:v>
      </x:c>
      <x:c r="F36" s="14" t="n">
        <x:v>4</x:v>
      </x:c>
      <x:c r="G36" s="14" t="str">
        <x:v>Homesteader</x:v>
      </x:c>
      <x:c r="H36" s="14" t="n">
        <x:v>1</x:v>
      </x:c>
      <x:c r="I36" s="14" t="n">
        <x:v>6</x:v>
      </x:c>
      <x:c r="J36" s="14" t="n">
        <x:v>0</x:v>
      </x:c>
      <x:c r="K36" s="14" t="n">
        <x:v>0</x:v>
      </x:c>
      <x:c r="L36" s="14" t="n">
        <x:v>3</x:v>
      </x:c>
      <x:c r="M36" s="14" t="n">
        <x:v>1</x:v>
      </x:c>
      <x:c r="N36" s="14" t="n">
        <x:v>0</x:v>
      </x:c>
      <x:c r="O36" s="14" t="str">
        <x:v>Scrap steel half wall</x:v>
      </x:c>
      <x:c r="P36" s="14" t="str">
        <x:v>Research blueprint</x:v>
      </x:c>
    </x:row>
    <x:row r="37" ht="34" customHeight="1">
      <x:c r="A37" s="15" t="n">
        <x:v>28</x:v>
      </x:c>
      <x:c r="B37" s="15" t="str">
        <x:v>Reinforced concrete pillar</x:v>
      </x:c>
      <x:c r="C37" s="15" t="n">
        <x:v>4</x:v>
      </x:c>
      <x:c r="D37" s="26" t="n">
        <x:v>0</x:v>
      </x:c>
      <x:c r="E37" s="15" t="n">
        <x:v>4</x:v>
      </x:c>
      <x:c r="F37" s="15" t="n">
        <x:v>4</x:v>
      </x:c>
      <x:c r="G37" s="15" t="str">
        <x:v>Homesteader</x:v>
      </x:c>
      <x:c r="H37" s="15" t="n">
        <x:v>1</x:v>
      </x:c>
      <x:c r="I37" s="15" t="n">
        <x:v>6</x:v>
      </x:c>
      <x:c r="J37" s="15" t="n">
        <x:v>0</x:v>
      </x:c>
      <x:c r="K37" s="15" t="n">
        <x:v>0</x:v>
      </x:c>
      <x:c r="L37" s="15" t="n">
        <x:v>3</x:v>
      </x:c>
      <x:c r="M37" s="15" t="n">
        <x:v>1</x:v>
      </x:c>
      <x:c r="N37" s="15" t="n">
        <x:v>0</x:v>
      </x:c>
      <x:c r="O37" s="15" t="str">
        <x:v>Scrap steel pillar</x:v>
      </x:c>
      <x:c r="P37" s="15" t="str">
        <x:v>Research blueprint</x:v>
      </x:c>
    </x:row>
    <x:row r="38" ht="34" customHeight="1">
      <x:c r="A38" s="14" t="n">
        <x:v>29</x:v>
      </x:c>
      <x:c r="B38" s="14" t="str">
        <x:v>Reinforced concrete beam</x:v>
      </x:c>
      <x:c r="C38" s="14" t="n">
        <x:v>4</x:v>
      </x:c>
      <x:c r="D38" s="26" t="n">
        <x:v>0</x:v>
      </x:c>
      <x:c r="E38" s="14" t="n">
        <x:v>4</x:v>
      </x:c>
      <x:c r="F38" s="14" t="n">
        <x:v>4</x:v>
      </x:c>
      <x:c r="G38" s="14" t="str">
        <x:v>Homesteader</x:v>
      </x:c>
      <x:c r="H38" s="14" t="n">
        <x:v>1</x:v>
      </x:c>
      <x:c r="I38" s="14" t="n">
        <x:v>6</x:v>
      </x:c>
      <x:c r="J38" s="14" t="n">
        <x:v>0</x:v>
      </x:c>
      <x:c r="K38" s="14" t="n">
        <x:v>0</x:v>
      </x:c>
      <x:c r="L38" s="14" t="n">
        <x:v>3</x:v>
      </x:c>
      <x:c r="M38" s="14" t="n">
        <x:v>1</x:v>
      </x:c>
      <x:c r="N38" s="14" t="n">
        <x:v>0</x:v>
      </x:c>
      <x:c r="O38" s="14" t="str">
        <x:v>Scrap steel beam</x:v>
      </x:c>
      <x:c r="P38" s="14" t="str">
        <x:v>Research blueprint</x:v>
      </x:c>
    </x:row>
    <x:row r="39" ht="34" customHeight="1">
      <x:c r="A39" s="15" t="n">
        <x:v>30</x:v>
      </x:c>
      <x:c r="B39" s="15" t="str">
        <x:v>Reinforced concrete stairs</x:v>
      </x:c>
      <x:c r="C39" s="15" t="n">
        <x:v>4</x:v>
      </x:c>
      <x:c r="D39" s="26" t="n">
        <x:v>0</x:v>
      </x:c>
      <x:c r="E39" s="15" t="n">
        <x:v>4</x:v>
      </x:c>
      <x:c r="F39" s="15" t="n">
        <x:v>4</x:v>
      </x:c>
      <x:c r="G39" s="15" t="str">
        <x:v>Homesteader</x:v>
      </x:c>
      <x:c r="H39" s="15" t="n">
        <x:v>1</x:v>
      </x:c>
      <x:c r="I39" s="15" t="n">
        <x:v>6</x:v>
      </x:c>
      <x:c r="J39" s="15" t="n">
        <x:v>0</x:v>
      </x:c>
      <x:c r="K39" s="15" t="n">
        <x:v>0</x:v>
      </x:c>
      <x:c r="L39" s="15" t="n">
        <x:v>3</x:v>
      </x:c>
      <x:c r="M39" s="15" t="n">
        <x:v>1</x:v>
      </x:c>
      <x:c r="N39" s="15" t="n">
        <x:v>0</x:v>
      </x:c>
      <x:c r="O39" s="15" t="str">
        <x:v>Scrap steel stairs</x:v>
      </x:c>
      <x:c r="P39" s="15" t="str">
        <x:v>Research blueprint</x:v>
      </x:c>
    </x:row>
    <x:row r="40" ht="34" customHeight="1">
      <x:c r="A40" s="14" t="n">
        <x:v>31</x:v>
      </x:c>
      <x:c r="B40" s="14" t="str">
        <x:v>Reinforced concrete roof</x:v>
      </x:c>
      <x:c r="C40" s="14" t="n">
        <x:v>4</x:v>
      </x:c>
      <x:c r="D40" s="26" t="n">
        <x:v>0</x:v>
      </x:c>
      <x:c r="E40" s="14" t="n">
        <x:v>4</x:v>
      </x:c>
      <x:c r="F40" s="14" t="n">
        <x:v>4</x:v>
      </x:c>
      <x:c r="G40" s="14" t="str">
        <x:v>Homesteader</x:v>
      </x:c>
      <x:c r="H40" s="14" t="n">
        <x:v>1</x:v>
      </x:c>
      <x:c r="I40" s="14" t="n">
        <x:v>6</x:v>
      </x:c>
      <x:c r="J40" s="14" t="n">
        <x:v>0</x:v>
      </x:c>
      <x:c r="K40" s="14" t="n">
        <x:v>0</x:v>
      </x:c>
      <x:c r="L40" s="14" t="n">
        <x:v>3</x:v>
      </x:c>
      <x:c r="M40" s="14" t="n">
        <x:v>1</x:v>
      </x:c>
      <x:c r="N40" s="14" t="n">
        <x:v>0</x:v>
      </x:c>
      <x:c r="O40" s="14" t="str">
        <x:v>Scrap steel roof</x:v>
      </x:c>
      <x:c r="P40" s="14" t="str">
        <x:v>Research blueprint</x:v>
      </x:c>
    </x:row>
    <x:row r="41" ht="34" customHeight="1">
      <x:c r="A41" s="15" t="n">
        <x:v>32</x:v>
      </x:c>
      <x:c r="B41" s="15" t="str">
        <x:v>Military foundation</x:v>
      </x:c>
      <x:c r="C41" s="15" t="n">
        <x:v>5</x:v>
      </x:c>
      <x:c r="D41" s="26" t="n">
        <x:v>0</x:v>
      </x:c>
      <x:c r="E41" s="15" t="n">
        <x:v>5</x:v>
      </x:c>
      <x:c r="F41" s="15" t="n">
        <x:v>5</x:v>
      </x:c>
      <x:c r="G41" s="15" t="str">
        <x:v>Homesteader</x:v>
      </x:c>
      <x:c r="H41" s="15" t="n">
        <x:v>1</x:v>
      </x:c>
      <x:c r="I41" s="15" t="n">
        <x:v>6</x:v>
      </x:c>
      <x:c r="J41" s="15" t="n">
        <x:v>0</x:v>
      </x:c>
      <x:c r="K41" s="15" t="n">
        <x:v>0</x:v>
      </x:c>
      <x:c r="L41" s="15" t="n">
        <x:v>6</x:v>
      </x:c>
      <x:c r="M41" s="15" t="n">
        <x:v>1</x:v>
      </x:c>
      <x:c r="N41" s="15" t="n">
        <x:v>2</x:v>
      </x:c>
      <x:c r="O41" s="15" t="str">
        <x:v>Reinforced concrete foundation</x:v>
      </x:c>
      <x:c r="P41" s="15" t="str">
        <x:v>Research blueprint</x:v>
      </x:c>
    </x:row>
    <x:row r="42" ht="34" customHeight="1">
      <x:c r="A42" s="14" t="n">
        <x:v>33</x:v>
      </x:c>
      <x:c r="B42" s="14" t="str">
        <x:v>Military floor</x:v>
      </x:c>
      <x:c r="C42" s="14" t="n">
        <x:v>5</x:v>
      </x:c>
      <x:c r="D42" s="26" t="n">
        <x:v>0</x:v>
      </x:c>
      <x:c r="E42" s="14" t="n">
        <x:v>5</x:v>
      </x:c>
      <x:c r="F42" s="14" t="n">
        <x:v>5</x:v>
      </x:c>
      <x:c r="G42" s="14" t="str">
        <x:v>Homesteader</x:v>
      </x:c>
      <x:c r="H42" s="14" t="n">
        <x:v>1</x:v>
      </x:c>
      <x:c r="I42" s="14" t="n">
        <x:v>6</x:v>
      </x:c>
      <x:c r="J42" s="14" t="n">
        <x:v>0</x:v>
      </x:c>
      <x:c r="K42" s="14" t="n">
        <x:v>0</x:v>
      </x:c>
      <x:c r="L42" s="14" t="n">
        <x:v>6</x:v>
      </x:c>
      <x:c r="M42" s="14" t="n">
        <x:v>1</x:v>
      </x:c>
      <x:c r="N42" s="14" t="n">
        <x:v>2</x:v>
      </x:c>
      <x:c r="O42" s="14" t="str">
        <x:v>Reinforced concrete floor</x:v>
      </x:c>
      <x:c r="P42" s="14" t="str">
        <x:v>Research blueprint</x:v>
      </x:c>
    </x:row>
    <x:row r="43" ht="34" customHeight="1">
      <x:c r="A43" s="15" t="n">
        <x:v>34</x:v>
      </x:c>
      <x:c r="B43" s="15" t="str">
        <x:v>Military wall</x:v>
      </x:c>
      <x:c r="C43" s="15" t="n">
        <x:v>5</x:v>
      </x:c>
      <x:c r="D43" s="26" t="n">
        <x:v>0</x:v>
      </x:c>
      <x:c r="E43" s="15" t="n">
        <x:v>5</x:v>
      </x:c>
      <x:c r="F43" s="15" t="n">
        <x:v>5</x:v>
      </x:c>
      <x:c r="G43" s="15" t="str">
        <x:v>Homesteader</x:v>
      </x:c>
      <x:c r="H43" s="15" t="n">
        <x:v>1</x:v>
      </x:c>
      <x:c r="I43" s="15" t="n">
        <x:v>6</x:v>
      </x:c>
      <x:c r="J43" s="15" t="n">
        <x:v>0</x:v>
      </x:c>
      <x:c r="K43" s="15" t="n">
        <x:v>0</x:v>
      </x:c>
      <x:c r="L43" s="15" t="n">
        <x:v>6</x:v>
      </x:c>
      <x:c r="M43" s="15" t="n">
        <x:v>1</x:v>
      </x:c>
      <x:c r="N43" s="15" t="n">
        <x:v>2</x:v>
      </x:c>
      <x:c r="O43" s="15" t="str">
        <x:v>Reinforced concrete wall</x:v>
      </x:c>
      <x:c r="P43" s="15" t="str">
        <x:v>Research blueprint</x:v>
      </x:c>
    </x:row>
    <x:row r="44" ht="34" customHeight="1">
      <x:c r="A44" s="14" t="n">
        <x:v>35</x:v>
      </x:c>
      <x:c r="B44" s="14" t="str">
        <x:v>Military half wall</x:v>
      </x:c>
      <x:c r="C44" s="14" t="n">
        <x:v>5</x:v>
      </x:c>
      <x:c r="D44" s="26" t="n">
        <x:v>0</x:v>
      </x:c>
      <x:c r="E44" s="14" t="n">
        <x:v>5</x:v>
      </x:c>
      <x:c r="F44" s="14" t="n">
        <x:v>5</x:v>
      </x:c>
      <x:c r="G44" s="14" t="str">
        <x:v>Homesteader</x:v>
      </x:c>
      <x:c r="H44" s="14" t="n">
        <x:v>1</x:v>
      </x:c>
      <x:c r="I44" s="14" t="n">
        <x:v>6</x:v>
      </x:c>
      <x:c r="J44" s="14" t="n">
        <x:v>0</x:v>
      </x:c>
      <x:c r="K44" s="14" t="n">
        <x:v>0</x:v>
      </x:c>
      <x:c r="L44" s="14" t="n">
        <x:v>6</x:v>
      </x:c>
      <x:c r="M44" s="14" t="n">
        <x:v>1</x:v>
      </x:c>
      <x:c r="N44" s="14" t="n">
        <x:v>2</x:v>
      </x:c>
      <x:c r="O44" s="14" t="str">
        <x:v>Reinforced concrete half wall</x:v>
      </x:c>
      <x:c r="P44" s="14" t="str">
        <x:v>Research blueprint</x:v>
      </x:c>
    </x:row>
    <x:row r="45" ht="34" customHeight="1">
      <x:c r="A45" s="15" t="n">
        <x:v>36</x:v>
      </x:c>
      <x:c r="B45" s="15" t="str">
        <x:v>Military pillar</x:v>
      </x:c>
      <x:c r="C45" s="15" t="n">
        <x:v>5</x:v>
      </x:c>
      <x:c r="D45" s="26" t="n">
        <x:v>0</x:v>
      </x:c>
      <x:c r="E45" s="15" t="n">
        <x:v>5</x:v>
      </x:c>
      <x:c r="F45" s="15" t="n">
        <x:v>5</x:v>
      </x:c>
      <x:c r="G45" s="15" t="str">
        <x:v>Homesteader</x:v>
      </x:c>
      <x:c r="H45" s="15" t="n">
        <x:v>1</x:v>
      </x:c>
      <x:c r="I45" s="15" t="n">
        <x:v>6</x:v>
      </x:c>
      <x:c r="J45" s="15" t="n">
        <x:v>0</x:v>
      </x:c>
      <x:c r="K45" s="15" t="n">
        <x:v>0</x:v>
      </x:c>
      <x:c r="L45" s="15" t="n">
        <x:v>6</x:v>
      </x:c>
      <x:c r="M45" s="15" t="n">
        <x:v>1</x:v>
      </x:c>
      <x:c r="N45" s="15" t="n">
        <x:v>2</x:v>
      </x:c>
      <x:c r="O45" s="15" t="str">
        <x:v>Reinforced concrete pillar</x:v>
      </x:c>
      <x:c r="P45" s="15" t="str">
        <x:v>Research blueprint</x:v>
      </x:c>
    </x:row>
    <x:row r="46" ht="34" customHeight="1">
      <x:c r="A46" s="14" t="n">
        <x:v>37</x:v>
      </x:c>
      <x:c r="B46" s="14" t="str">
        <x:v>Military beam</x:v>
      </x:c>
      <x:c r="C46" s="14" t="n">
        <x:v>5</x:v>
      </x:c>
      <x:c r="D46" s="26" t="n">
        <x:v>0</x:v>
      </x:c>
      <x:c r="E46" s="14" t="n">
        <x:v>5</x:v>
      </x:c>
      <x:c r="F46" s="14" t="n">
        <x:v>5</x:v>
      </x:c>
      <x:c r="G46" s="14" t="str">
        <x:v>Homesteader</x:v>
      </x:c>
      <x:c r="H46" s="14" t="n">
        <x:v>1</x:v>
      </x:c>
      <x:c r="I46" s="14" t="n">
        <x:v>6</x:v>
      </x:c>
      <x:c r="J46" s="14" t="n">
        <x:v>0</x:v>
      </x:c>
      <x:c r="K46" s="14" t="n">
        <x:v>0</x:v>
      </x:c>
      <x:c r="L46" s="14" t="n">
        <x:v>6</x:v>
      </x:c>
      <x:c r="M46" s="14" t="n">
        <x:v>1</x:v>
      </x:c>
      <x:c r="N46" s="14" t="n">
        <x:v>2</x:v>
      </x:c>
      <x:c r="O46" s="14" t="str">
        <x:v>Reinforced concrete beam</x:v>
      </x:c>
      <x:c r="P46" s="14" t="str">
        <x:v>Research blueprint</x:v>
      </x:c>
    </x:row>
    <x:row r="47" ht="34" customHeight="1">
      <x:c r="A47" s="15" t="n">
        <x:v>38</x:v>
      </x:c>
      <x:c r="B47" s="15" t="str">
        <x:v>Military stairs</x:v>
      </x:c>
      <x:c r="C47" s="15" t="n">
        <x:v>5</x:v>
      </x:c>
      <x:c r="D47" s="26" t="n">
        <x:v>0</x:v>
      </x:c>
      <x:c r="E47" s="15" t="n">
        <x:v>5</x:v>
      </x:c>
      <x:c r="F47" s="15" t="n">
        <x:v>5</x:v>
      </x:c>
      <x:c r="G47" s="15" t="str">
        <x:v>Homesteader</x:v>
      </x:c>
      <x:c r="H47" s="15" t="n">
        <x:v>1</x:v>
      </x:c>
      <x:c r="I47" s="15" t="n">
        <x:v>6</x:v>
      </x:c>
      <x:c r="J47" s="15" t="n">
        <x:v>0</x:v>
      </x:c>
      <x:c r="K47" s="15" t="n">
        <x:v>0</x:v>
      </x:c>
      <x:c r="L47" s="15" t="n">
        <x:v>6</x:v>
      </x:c>
      <x:c r="M47" s="15" t="n">
        <x:v>1</x:v>
      </x:c>
      <x:c r="N47" s="15" t="n">
        <x:v>2</x:v>
      </x:c>
      <x:c r="O47" s="15" t="str">
        <x:v>Reinforced concrete stairs</x:v>
      </x:c>
      <x:c r="P47" s="15" t="str">
        <x:v>Research blueprint</x:v>
      </x:c>
    </x:row>
    <x:row r="48" ht="34" customHeight="1">
      <x:c r="A48" s="14" t="n">
        <x:v>39</x:v>
      </x:c>
      <x:c r="B48" s="14" t="str">
        <x:v>Military roof</x:v>
      </x:c>
      <x:c r="C48" s="14" t="n">
        <x:v>5</x:v>
      </x:c>
      <x:c r="D48" s="26" t="n">
        <x:v>0</x:v>
      </x:c>
      <x:c r="E48" s="14" t="n">
        <x:v>5</x:v>
      </x:c>
      <x:c r="F48" s="14" t="n">
        <x:v>5</x:v>
      </x:c>
      <x:c r="G48" s="14" t="str">
        <x:v>Homesteader</x:v>
      </x:c>
      <x:c r="H48" s="14" t="n">
        <x:v>1</x:v>
      </x:c>
      <x:c r="I48" s="14" t="n">
        <x:v>6</x:v>
      </x:c>
      <x:c r="J48" s="14" t="n">
        <x:v>0</x:v>
      </x:c>
      <x:c r="K48" s="14" t="n">
        <x:v>0</x:v>
      </x:c>
      <x:c r="L48" s="14" t="n">
        <x:v>6</x:v>
      </x:c>
      <x:c r="M48" s="14" t="n">
        <x:v>1</x:v>
      </x:c>
      <x:c r="N48" s="14" t="n">
        <x:v>2</x:v>
      </x:c>
      <x:c r="O48" s="14" t="str">
        <x:v>Reinforced concrete roof</x:v>
      </x:c>
      <x:c r="P48" s="14" t="str">
        <x:v>Research blueprint</x:v>
      </x:c>
    </x:row>
    <x:row r="49" ht="34" customHeight="1">
      <x:c r="A49" s="15" t="n">
        <x:v>40</x:v>
      </x:c>
      <x:c r="B49" s="15" t="str">
        <x:v>Timber door</x:v>
      </x:c>
      <x:c r="C49" s="15" t="n">
        <x:v>1</x:v>
      </x:c>
      <x:c r="D49" s="26" t="n">
        <x:v>0</x:v>
      </x:c>
      <x:c r="E49" s="15" t="n">
        <x:v>0</x:v>
      </x:c>
      <x:c r="F49" s="15" t="n">
        <x:v>1</x:v>
      </x:c>
      <x:c r="G49" s="15" t="str">
        <x:v>Homesteader</x:v>
      </x:c>
      <x:c r="H49" s="15" t="n">
        <x:v>3</x:v>
      </x:c>
      <x:c r="I49" s="15" t="n">
        <x:v>0</x:v>
      </x:c>
      <x:c r="J49" s="15" t="n">
        <x:v>1</x:v>
      </x:c>
      <x:c r="K49" s="15" t="n">
        <x:v>0</x:v>
      </x:c>
      <x:c r="L49" s="15" t="n">
        <x:v>0</x:v>
      </x:c>
      <x:c r="M49" s="15" t="n">
        <x:v>0</x:v>
      </x:c>
      <x:c r="N49" s="15" t="n">
        <x:v>0</x:v>
      </x:c>
      <x:c r="O49" s="15" t="str">
        <x:v>None</x:v>
      </x:c>
      <x:c r="P49" s="15" t="str">
        <x:v>Research blueprint</x:v>
      </x:c>
    </x:row>
    <x:row r="50" ht="34" customHeight="1">
      <x:c r="A50" s="14" t="n">
        <x:v>41</x:v>
      </x:c>
      <x:c r="B50" s="14" t="str">
        <x:v>Storage chest</x:v>
      </x:c>
      <x:c r="C50" s="14" t="n">
        <x:v>1</x:v>
      </x:c>
      <x:c r="D50" s="26" t="n">
        <x:v>0</x:v>
      </x:c>
      <x:c r="E50" s="14" t="n">
        <x:v>0</x:v>
      </x:c>
      <x:c r="F50" s="14" t="n">
        <x:v>1</x:v>
      </x:c>
      <x:c r="G50" s="14" t="str">
        <x:v>Homesteader</x:v>
      </x:c>
      <x:c r="H50" s="14" t="n">
        <x:v>6</x:v>
      </x:c>
      <x:c r="I50" s="14" t="n">
        <x:v>0</x:v>
      </x:c>
      <x:c r="J50" s="14" t="n">
        <x:v>3</x:v>
      </x:c>
      <x:c r="K50" s="14" t="n">
        <x:v>0</x:v>
      </x:c>
      <x:c r="L50" s="14" t="n">
        <x:v>0</x:v>
      </x:c>
      <x:c r="M50" s="14" t="n">
        <x:v>0</x:v>
      </x:c>
      <x:c r="N50" s="14" t="n">
        <x:v>0</x:v>
      </x:c>
      <x:c r="O50" s="14" t="str">
        <x:v>None</x:v>
      </x:c>
      <x:c r="P50" s="14" t="str">
        <x:v>Research blueprint</x:v>
      </x:c>
    </x:row>
    <x:row r="51" ht="34" customHeight="1">
      <x:c r="A51" s="15" t="n">
        <x:v>42</x:v>
      </x:c>
      <x:c r="B51" s="15" t="str">
        <x:v>Stone-braced window wall</x:v>
      </x:c>
      <x:c r="C51" s="15" t="n">
        <x:v>2</x:v>
      </x:c>
      <x:c r="D51" s="26" t="n">
        <x:v>0</x:v>
      </x:c>
      <x:c r="E51" s="15" t="n">
        <x:v>2</x:v>
      </x:c>
      <x:c r="F51" s="15" t="n">
        <x:v>2</x:v>
      </x:c>
      <x:c r="G51" s="15" t="str">
        <x:v>Homesteader</x:v>
      </x:c>
      <x:c r="H51" s="15" t="n">
        <x:v>4</x:v>
      </x:c>
      <x:c r="I51" s="15" t="n">
        <x:v>4</x:v>
      </x:c>
      <x:c r="J51" s="15" t="n">
        <x:v>1</x:v>
      </x:c>
      <x:c r="K51" s="15" t="n">
        <x:v>1</x:v>
      </x:c>
      <x:c r="L51" s="15" t="n">
        <x:v>0</x:v>
      </x:c>
      <x:c r="M51" s="15" t="n">
        <x:v>0</x:v>
      </x:c>
      <x:c r="N51" s="15" t="n">
        <x:v>0</x:v>
      </x:c>
      <x:c r="O51" s="15" t="str">
        <x:v>Stone-braced wall</x:v>
      </x:c>
      <x:c r="P51" s="15" t="str">
        <x:v>Uses same-tier wall unlock</x:v>
      </x:c>
    </x:row>
    <x:row r="52" ht="34" customHeight="1">
      <x:c r="A52" s="14" t="n">
        <x:v>43</x:v>
      </x:c>
      <x:c r="B52" s="14" t="str">
        <x:v>Timber gate</x:v>
      </x:c>
      <x:c r="C52" s="14" t="n">
        <x:v>2</x:v>
      </x:c>
      <x:c r="D52" s="26" t="n">
        <x:v>0</x:v>
      </x:c>
      <x:c r="E52" s="14" t="n">
        <x:v>2</x:v>
      </x:c>
      <x:c r="F52" s="14" t="n">
        <x:v>2</x:v>
      </x:c>
      <x:c r="G52" s="14" t="str">
        <x:v>Homesteader</x:v>
      </x:c>
      <x:c r="H52" s="14" t="n">
        <x:v>6</x:v>
      </x:c>
      <x:c r="I52" s="14" t="n">
        <x:v>0</x:v>
      </x:c>
      <x:c r="J52" s="14" t="n">
        <x:v>2</x:v>
      </x:c>
      <x:c r="K52" s="14" t="n">
        <x:v>4</x:v>
      </x:c>
      <x:c r="L52" s="14" t="n">
        <x:v>0</x:v>
      </x:c>
      <x:c r="M52" s="14" t="n">
        <x:v>0</x:v>
      </x:c>
      <x:c r="N52" s="14" t="n">
        <x:v>0</x:v>
      </x:c>
      <x:c r="O52" s="14" t="str">
        <x:v>Timber door</x:v>
      </x:c>
      <x:c r="P52" s="14" t="str">
        <x:v>Research blueprint</x:v>
      </x:c>
    </x:row>
    <x:row r="53" ht="34" customHeight="1">
      <x:c r="A53" s="15" t="n">
        <x:v>44</x:v>
      </x:c>
      <x:c r="B53" s="15" t="str">
        <x:v>Large storage locker</x:v>
      </x:c>
      <x:c r="C53" s="15" t="n">
        <x:v>2</x:v>
      </x:c>
      <x:c r="D53" s="26" t="n">
        <x:v>0</x:v>
      </x:c>
      <x:c r="E53" s="15" t="n">
        <x:v>2</x:v>
      </x:c>
      <x:c r="F53" s="15" t="n">
        <x:v>2</x:v>
      </x:c>
      <x:c r="G53" s="15" t="str">
        <x:v>Homesteader</x:v>
      </x:c>
      <x:c r="H53" s="15" t="n">
        <x:v>6</x:v>
      </x:c>
      <x:c r="I53" s="15" t="n">
        <x:v>0</x:v>
      </x:c>
      <x:c r="J53" s="15" t="n">
        <x:v>2</x:v>
      </x:c>
      <x:c r="K53" s="15" t="n">
        <x:v>4</x:v>
      </x:c>
      <x:c r="L53" s="15" t="n">
        <x:v>0</x:v>
      </x:c>
      <x:c r="M53" s="15" t="n">
        <x:v>0</x:v>
      </x:c>
      <x:c r="N53" s="15" t="n">
        <x:v>0</x:v>
      </x:c>
      <x:c r="O53" s="15" t="str">
        <x:v>Storage chest</x:v>
      </x:c>
      <x:c r="P53" s="15" t="str">
        <x:v>Research blueprint</x:v>
      </x:c>
    </x:row>
    <x:row r="54" ht="34" customHeight="1">
      <x:c r="A54" s="14" t="n">
        <x:v>45</x:v>
      </x:c>
      <x:c r="B54" s="14" t="str">
        <x:v>Vehicle repair station</x:v>
      </x:c>
      <x:c r="C54" s="14" t="n">
        <x:v>3</x:v>
      </x:c>
      <x:c r="D54" s="26" t="n">
        <x:v>0</x:v>
      </x:c>
      <x:c r="E54" s="14" t="n">
        <x:v>3</x:v>
      </x:c>
      <x:c r="F54" s="14" t="n">
        <x:v>3</x:v>
      </x:c>
      <x:c r="G54" s="14" t="str">
        <x:v>Engineer</x:v>
      </x:c>
      <x:c r="H54" s="14" t="n">
        <x:v>3</x:v>
      </x:c>
      <x:c r="I54" s="14" t="n">
        <x:v>0</x:v>
      </x:c>
      <x:c r="J54" s="14" t="n">
        <x:v>2</x:v>
      </x:c>
      <x:c r="K54" s="14" t="n">
        <x:v>0</x:v>
      </x:c>
      <x:c r="L54" s="14" t="n">
        <x:v>5</x:v>
      </x:c>
      <x:c r="M54" s="14" t="n">
        <x:v>0</x:v>
      </x:c>
      <x:c r="N54" s="14" t="n">
        <x:v>0</x:v>
      </x:c>
      <x:c r="O54" s="14" t="str">
        <x:v>None</x:v>
      </x:c>
      <x:c r="P54" s="14" t="str">
        <x:v>Research blueprint</x:v>
      </x:c>
    </x:row>
    <x:row r="55" ht="34" customHeight="1">
      <x:c r="A55" s="15" t="n">
        <x:v>46</x:v>
      </x:c>
      <x:c r="B55" s="15" t="str">
        <x:v>Garage gate</x:v>
      </x:c>
      <x:c r="C55" s="15" t="n">
        <x:v>3</x:v>
      </x:c>
      <x:c r="D55" s="26" t="n">
        <x:v>0</x:v>
      </x:c>
      <x:c r="E55" s="15" t="n">
        <x:v>3</x:v>
      </x:c>
      <x:c r="F55" s="15" t="n">
        <x:v>3</x:v>
      </x:c>
      <x:c r="G55" s="15" t="str">
        <x:v>Homesteader</x:v>
      </x:c>
      <x:c r="H55" s="15" t="n">
        <x:v>3</x:v>
      </x:c>
      <x:c r="I55" s="15" t="n">
        <x:v>0</x:v>
      </x:c>
      <x:c r="J55" s="15" t="n">
        <x:v>2</x:v>
      </x:c>
      <x:c r="K55" s="15" t="n">
        <x:v>0</x:v>
      </x:c>
      <x:c r="L55" s="15" t="n">
        <x:v>5</x:v>
      </x:c>
      <x:c r="M55" s="15" t="n">
        <x:v>0</x:v>
      </x:c>
      <x:c r="N55" s="15" t="n">
        <x:v>0</x:v>
      </x:c>
      <x:c r="O55" s="15" t="str">
        <x:v>Timber gate</x:v>
      </x:c>
      <x:c r="P55" s="15" t="str">
        <x:v>Research blueprint</x:v>
      </x:c>
    </x:row>
    <x:row r="56" ht="34" customHeight="1">
      <x:c r="A56" s="14" t="n">
        <x:v>47</x:v>
      </x:c>
      <x:c r="B56" s="14" t="str">
        <x:v>Mobile camp trailer</x:v>
      </x:c>
      <x:c r="C56" s="14" t="n">
        <x:v>3</x:v>
      </x:c>
      <x:c r="D56" s="26" t="n">
        <x:v>0</x:v>
      </x:c>
      <x:c r="E56" s="14" t="n">
        <x:v>3</x:v>
      </x:c>
      <x:c r="F56" s="14" t="n">
        <x:v>3</x:v>
      </x:c>
      <x:c r="G56" s="14" t="str">
        <x:v>Engineer</x:v>
      </x:c>
      <x:c r="H56" s="14" t="n">
        <x:v>3</x:v>
      </x:c>
      <x:c r="I56" s="14" t="n">
        <x:v>0</x:v>
      </x:c>
      <x:c r="J56" s="14" t="n">
        <x:v>2</x:v>
      </x:c>
      <x:c r="K56" s="14" t="n">
        <x:v>0</x:v>
      </x:c>
      <x:c r="L56" s="14" t="n">
        <x:v>5</x:v>
      </x:c>
      <x:c r="M56" s="14" t="n">
        <x:v>0</x:v>
      </x:c>
      <x:c r="N56" s="14" t="n">
        <x:v>0</x:v>
      </x:c>
      <x:c r="O56" s="14" t="str">
        <x:v>None</x:v>
      </x:c>
      <x:c r="P56" s="14" t="str">
        <x:v>Research blueprint</x:v>
      </x:c>
    </x:row>
    <x:row r="57" ht="34" customHeight="1">
      <x:c r="A57" s="15" t="n">
        <x:v>48</x:v>
      </x:c>
      <x:c r="B57" s="15" t="str">
        <x:v>Generator</x:v>
      </x:c>
      <x:c r="C57" s="15" t="n">
        <x:v>4</x:v>
      </x:c>
      <x:c r="D57" s="26" t="n">
        <x:v>0</x:v>
      </x:c>
      <x:c r="E57" s="15" t="n">
        <x:v>4</x:v>
      </x:c>
      <x:c r="F57" s="15" t="n">
        <x:v>4</x:v>
      </x:c>
      <x:c r="G57" s="15" t="str">
        <x:v>Engineer</x:v>
      </x:c>
      <x:c r="H57" s="15" t="n">
        <x:v>3</x:v>
      </x:c>
      <x:c r="I57" s="15" t="n">
        <x:v>0</x:v>
      </x:c>
      <x:c r="J57" s="15" t="n">
        <x:v>2</x:v>
      </x:c>
      <x:c r="K57" s="15" t="n">
        <x:v>0</x:v>
      </x:c>
      <x:c r="L57" s="15" t="n">
        <x:v>5</x:v>
      </x:c>
      <x:c r="M57" s="15" t="n">
        <x:v>6</x:v>
      </x:c>
      <x:c r="N57" s="15" t="n">
        <x:v>0</x:v>
      </x:c>
      <x:c r="O57" s="15" t="str">
        <x:v>None</x:v>
      </x:c>
      <x:c r="P57" s="15" t="str">
        <x:v>Research blueprint</x:v>
      </x:c>
    </x:row>
    <x:row r="58" ht="34" customHeight="1">
      <x:c r="A58" s="14" t="n">
        <x:v>49</x:v>
      </x:c>
      <x:c r="B58" s="14" t="str">
        <x:v>Powered door</x:v>
      </x:c>
      <x:c r="C58" s="14" t="n">
        <x:v>4</x:v>
      </x:c>
      <x:c r="D58" s="26" t="n">
        <x:v>0</x:v>
      </x:c>
      <x:c r="E58" s="14" t="n">
        <x:v>4</x:v>
      </x:c>
      <x:c r="F58" s="14" t="n">
        <x:v>4</x:v>
      </x:c>
      <x:c r="G58" s="14" t="str">
        <x:v>Homesteader</x:v>
      </x:c>
      <x:c r="H58" s="14" t="n">
        <x:v>3</x:v>
      </x:c>
      <x:c r="I58" s="14" t="n">
        <x:v>0</x:v>
      </x:c>
      <x:c r="J58" s="14" t="n">
        <x:v>2</x:v>
      </x:c>
      <x:c r="K58" s="14" t="n">
        <x:v>0</x:v>
      </x:c>
      <x:c r="L58" s="14" t="n">
        <x:v>5</x:v>
      </x:c>
      <x:c r="M58" s="14" t="n">
        <x:v>6</x:v>
      </x:c>
      <x:c r="N58" s="14" t="n">
        <x:v>0</x:v>
      </x:c>
      <x:c r="O58" s="14" t="str">
        <x:v>Garage gate</x:v>
      </x:c>
      <x:c r="P58" s="14" t="str">
        <x:v>Research blueprint</x:v>
      </x:c>
    </x:row>
    <x:row r="59" ht="34" customHeight="1">
      <x:c r="A59" s="15" t="n">
        <x:v>50</x:v>
      </x:c>
      <x:c r="B59" s="15" t="str">
        <x:v>Electric lamp</x:v>
      </x:c>
      <x:c r="C59" s="15" t="n">
        <x:v>4</x:v>
      </x:c>
      <x:c r="D59" s="26" t="n">
        <x:v>0</x:v>
      </x:c>
      <x:c r="E59" s="15" t="n">
        <x:v>4</x:v>
      </x:c>
      <x:c r="F59" s="15" t="n">
        <x:v>4</x:v>
      </x:c>
      <x:c r="G59" s="15" t="str">
        <x:v>Homesteader</x:v>
      </x:c>
      <x:c r="H59" s="15" t="n">
        <x:v>3</x:v>
      </x:c>
      <x:c r="I59" s="15" t="n">
        <x:v>0</x:v>
      </x:c>
      <x:c r="J59" s="15" t="n">
        <x:v>2</x:v>
      </x:c>
      <x:c r="K59" s="15" t="n">
        <x:v>0</x:v>
      </x:c>
      <x:c r="L59" s="15" t="n">
        <x:v>5</x:v>
      </x:c>
      <x:c r="M59" s="15" t="n">
        <x:v>6</x:v>
      </x:c>
      <x:c r="N59" s="15" t="n">
        <x:v>0</x:v>
      </x:c>
      <x:c r="O59" s="15" t="str">
        <x:v>None</x:v>
      </x:c>
      <x:c r="P59" s="15" t="str">
        <x:v>Research blueprint</x:v>
      </x:c>
    </x:row>
    <x:row r="60" ht="34" customHeight="1">
      <x:c r="A60" s="14" t="n">
        <x:v>51</x:v>
      </x:c>
      <x:c r="B60" s="14" t="str">
        <x:v>Fortified powered gate</x:v>
      </x:c>
      <x:c r="C60" s="14" t="n">
        <x:v>5</x:v>
      </x:c>
      <x:c r="D60" s="26" t="n">
        <x:v>0</x:v>
      </x:c>
      <x:c r="E60" s="14" t="n">
        <x:v>5</x:v>
      </x:c>
      <x:c r="F60" s="14" t="n">
        <x:v>5</x:v>
      </x:c>
      <x:c r="G60" s="14" t="str">
        <x:v>Homesteader</x:v>
      </x:c>
      <x:c r="H60" s="14" t="n">
        <x:v>3</x:v>
      </x:c>
      <x:c r="I60" s="14" t="n">
        <x:v>0</x:v>
      </x:c>
      <x:c r="J60" s="14" t="n">
        <x:v>2</x:v>
      </x:c>
      <x:c r="K60" s="14" t="n">
        <x:v>0</x:v>
      </x:c>
      <x:c r="L60" s="14" t="n">
        <x:v>5</x:v>
      </x:c>
      <x:c r="M60" s="14" t="n">
        <x:v>0</x:v>
      </x:c>
      <x:c r="N60" s="14" t="n">
        <x:v>7</x:v>
      </x:c>
      <x:c r="O60" s="14" t="str">
        <x:v>Powered door</x:v>
      </x:c>
      <x:c r="P60" s="14" t="str">
        <x:v>Research blueprint</x:v>
      </x:c>
    </x:row>
    <x:row r="61" ht="34" customHeight="1">
      <x:c r="A61" s="15" t="n">
        <x:v>52</x:v>
      </x:c>
      <x:c r="B61" s="15" t="str">
        <x:v>Heavy structural support</x:v>
      </x:c>
      <x:c r="C61" s="15" t="n">
        <x:v>5</x:v>
      </x:c>
      <x:c r="D61" s="26" t="n">
        <x:v>0</x:v>
      </x:c>
      <x:c r="E61" s="15" t="n">
        <x:v>5</x:v>
      </x:c>
      <x:c r="F61" s="15" t="n">
        <x:v>5</x:v>
      </x:c>
      <x:c r="G61" s="15" t="str">
        <x:v>Homesteader</x:v>
      </x:c>
      <x:c r="H61" s="15" t="n">
        <x:v>3</x:v>
      </x:c>
      <x:c r="I61" s="15" t="n">
        <x:v>0</x:v>
      </x:c>
      <x:c r="J61" s="15" t="n">
        <x:v>2</x:v>
      </x:c>
      <x:c r="K61" s="15" t="n">
        <x:v>0</x:v>
      </x:c>
      <x:c r="L61" s="15" t="n">
        <x:v>5</x:v>
      </x:c>
      <x:c r="M61" s="15" t="n">
        <x:v>0</x:v>
      </x:c>
      <x:c r="N61" s="15" t="n">
        <x:v>7</x:v>
      </x:c>
      <x:c r="O61" s="15" t="str">
        <x:v>None</x:v>
      </x:c>
      <x:c r="P61" s="15" t="str">
        <x:v>Research blueprint</x:v>
      </x:c>
    </x:row>
    <x:row r="62" ht="34" customHeight="1">
      <x:c r="A62" s="14" t="n">
        <x:v>53</x:v>
      </x:c>
      <x:c r="B62" s="14" t="str">
        <x:v>Expedition rover</x:v>
      </x:c>
      <x:c r="C62" s="14" t="n">
        <x:v>5</x:v>
      </x:c>
      <x:c r="D62" s="26" t="n">
        <x:v>0</x:v>
      </x:c>
      <x:c r="E62" s="14" t="n">
        <x:v>5</x:v>
      </x:c>
      <x:c r="F62" s="14" t="n">
        <x:v>5</x:v>
      </x:c>
      <x:c r="G62" s="14" t="str">
        <x:v>Engineer</x:v>
      </x:c>
      <x:c r="H62" s="14" t="n">
        <x:v>3</x:v>
      </x:c>
      <x:c r="I62" s="14" t="n">
        <x:v>0</x:v>
      </x:c>
      <x:c r="J62" s="14" t="n">
        <x:v>2</x:v>
      </x:c>
      <x:c r="K62" s="14" t="n">
        <x:v>0</x:v>
      </x:c>
      <x:c r="L62" s="14" t="n">
        <x:v>5</x:v>
      </x:c>
      <x:c r="M62" s="14" t="n">
        <x:v>0</x:v>
      </x:c>
      <x:c r="N62" s="14" t="n">
        <x:v>7</x:v>
      </x:c>
      <x:c r="O62" s="14" t="str">
        <x:v>None</x:v>
      </x:c>
      <x:c r="P62" s="14" t="str">
        <x:v>Research blueprint</x:v>
      </x:c>
    </x:row>
    <x:row r="63" ht="34" customHeight="1">
      <x:c r="A63" s="15" t="n">
        <x:v>54</x:v>
      </x:c>
      <x:c r="B63" s="15" t="str">
        <x:v>Wood barricade</x:v>
      </x:c>
      <x:c r="C63" s="15" t="n">
        <x:v>1</x:v>
      </x:c>
      <x:c r="D63" s="26" t="n">
        <x:v>0</x:v>
      </x:c>
      <x:c r="E63" s="15" t="n">
        <x:v>0</x:v>
      </x:c>
      <x:c r="F63" s="15" t="n">
        <x:v>1</x:v>
      </x:c>
      <x:c r="G63" s="15" t="str">
        <x:v>Fortifier</x:v>
      </x:c>
      <x:c r="H63" s="15" t="n">
        <x:v>6</x:v>
      </x:c>
      <x:c r="I63" s="15" t="n">
        <x:v>0</x:v>
      </x:c>
      <x:c r="J63" s="15" t="n">
        <x:v>3</x:v>
      </x:c>
      <x:c r="K63" s="15" t="n">
        <x:v>0</x:v>
      </x:c>
      <x:c r="L63" s="15" t="n">
        <x:v>0</x:v>
      </x:c>
      <x:c r="M63" s="15" t="n">
        <x:v>0</x:v>
      </x:c>
      <x:c r="N63" s="15" t="n">
        <x:v>0</x:v>
      </x:c>
      <x:c r="O63" s="15" t="str">
        <x:v>None</x:v>
      </x:c>
      <x:c r="P63" s="15" t="str">
        <x:v>Research blueprint</x:v>
      </x:c>
    </x:row>
    <x:row r="64" ht="34" customHeight="1">
      <x:c r="A64" s="14" t="n">
        <x:v>55</x:v>
      </x:c>
      <x:c r="B64" s="14" t="str">
        <x:v>Wood spike trap</x:v>
      </x:c>
      <x:c r="C64" s="14" t="n">
        <x:v>1</x:v>
      </x:c>
      <x:c r="D64" s="26" t="n">
        <x:v>0</x:v>
      </x:c>
      <x:c r="E64" s="14" t="n">
        <x:v>0</x:v>
      </x:c>
      <x:c r="F64" s="14" t="n">
        <x:v>1</x:v>
      </x:c>
      <x:c r="G64" s="14" t="str">
        <x:v>Fortifier</x:v>
      </x:c>
      <x:c r="H64" s="14" t="n">
        <x:v>6</x:v>
      </x:c>
      <x:c r="I64" s="14" t="n">
        <x:v>0</x:v>
      </x:c>
      <x:c r="J64" s="14" t="n">
        <x:v>3</x:v>
      </x:c>
      <x:c r="K64" s="14" t="n">
        <x:v>0</x:v>
      </x:c>
      <x:c r="L64" s="14" t="n">
        <x:v>0</x:v>
      </x:c>
      <x:c r="M64" s="14" t="n">
        <x:v>0</x:v>
      </x:c>
      <x:c r="N64" s="14" t="n">
        <x:v>0</x:v>
      </x:c>
      <x:c r="O64" s="14" t="str">
        <x:v>None</x:v>
      </x:c>
      <x:c r="P64" s="14" t="str">
        <x:v>Research blueprint</x:v>
      </x:c>
    </x:row>
    <x:row r="65" ht="34" customHeight="1">
      <x:c r="A65" s="15" t="n">
        <x:v>56</x:v>
      </x:c>
      <x:c r="B65" s="15" t="str">
        <x:v>Fence section</x:v>
      </x:c>
      <x:c r="C65" s="15" t="n">
        <x:v>1</x:v>
      </x:c>
      <x:c r="D65" s="26" t="n">
        <x:v>0</x:v>
      </x:c>
      <x:c r="E65" s="15" t="n">
        <x:v>0</x:v>
      </x:c>
      <x:c r="F65" s="15" t="n">
        <x:v>1</x:v>
      </x:c>
      <x:c r="G65" s="15" t="str">
        <x:v>Fortifier</x:v>
      </x:c>
      <x:c r="H65" s="15" t="n">
        <x:v>6</x:v>
      </x:c>
      <x:c r="I65" s="15" t="n">
        <x:v>0</x:v>
      </x:c>
      <x:c r="J65" s="15" t="n">
        <x:v>3</x:v>
      </x:c>
      <x:c r="K65" s="15" t="n">
        <x:v>0</x:v>
      </x:c>
      <x:c r="L65" s="15" t="n">
        <x:v>0</x:v>
      </x:c>
      <x:c r="M65" s="15" t="n">
        <x:v>0</x:v>
      </x:c>
      <x:c r="N65" s="15" t="n">
        <x:v>0</x:v>
      </x:c>
      <x:c r="O65" s="15" t="str">
        <x:v>None</x:v>
      </x:c>
      <x:c r="P65" s="15" t="str">
        <x:v>Research blueprint</x:v>
      </x:c>
    </x:row>
    <x:row r="66" ht="34" customHeight="1">
      <x:c r="A66" s="14" t="n">
        <x:v>57</x:v>
      </x:c>
      <x:c r="B66" s="14" t="str">
        <x:v>Watch platform</x:v>
      </x:c>
      <x:c r="C66" s="14" t="n">
        <x:v>2</x:v>
      </x:c>
      <x:c r="D66" s="26" t="n">
        <x:v>0</x:v>
      </x:c>
      <x:c r="E66" s="14" t="n">
        <x:v>2</x:v>
      </x:c>
      <x:c r="F66" s="14" t="n">
        <x:v>2</x:v>
      </x:c>
      <x:c r="G66" s="14" t="str">
        <x:v>Fortifier</x:v>
      </x:c>
      <x:c r="H66" s="14" t="n">
        <x:v>6</x:v>
      </x:c>
      <x:c r="I66" s="14" t="n">
        <x:v>0</x:v>
      </x:c>
      <x:c r="J66" s="14" t="n">
        <x:v>2</x:v>
      </x:c>
      <x:c r="K66" s="14" t="n">
        <x:v>4</x:v>
      </x:c>
      <x:c r="L66" s="14" t="n">
        <x:v>0</x:v>
      </x:c>
      <x:c r="M66" s="14" t="n">
        <x:v>0</x:v>
      </x:c>
      <x:c r="N66" s="14" t="n">
        <x:v>0</x:v>
      </x:c>
      <x:c r="O66" s="14" t="str">
        <x:v>None</x:v>
      </x:c>
      <x:c r="P66" s="14" t="str">
        <x:v>Research blueprint</x:v>
      </x:c>
    </x:row>
    <x:row r="67" ht="34" customHeight="1">
      <x:c r="A67" s="15" t="n">
        <x:v>58</x:v>
      </x:c>
      <x:c r="B67" s="15" t="str">
        <x:v>Snare trap</x:v>
      </x:c>
      <x:c r="C67" s="15" t="n">
        <x:v>2</x:v>
      </x:c>
      <x:c r="D67" s="26" t="n">
        <x:v>0</x:v>
      </x:c>
      <x:c r="E67" s="15" t="n">
        <x:v>2</x:v>
      </x:c>
      <x:c r="F67" s="15" t="n">
        <x:v>2</x:v>
      </x:c>
      <x:c r="G67" s="15" t="str">
        <x:v>Trapper</x:v>
      </x:c>
      <x:c r="H67" s="15" t="n">
        <x:v>6</x:v>
      </x:c>
      <x:c r="I67" s="15" t="n">
        <x:v>0</x:v>
      </x:c>
      <x:c r="J67" s="15" t="n">
        <x:v>2</x:v>
      </x:c>
      <x:c r="K67" s="15" t="n">
        <x:v>4</x:v>
      </x:c>
      <x:c r="L67" s="15" t="n">
        <x:v>0</x:v>
      </x:c>
      <x:c r="M67" s="15" t="n">
        <x:v>0</x:v>
      </x:c>
      <x:c r="N67" s="15" t="n">
        <x:v>0</x:v>
      </x:c>
      <x:c r="O67" s="15" t="str">
        <x:v>None</x:v>
      </x:c>
      <x:c r="P67" s="15" t="str">
        <x:v>Research blueprint</x:v>
      </x:c>
    </x:row>
    <x:row r="68" ht="34" customHeight="1">
      <x:c r="A68" s="14" t="n">
        <x:v>59</x:v>
      </x:c>
      <x:c r="B68" s="14" t="str">
        <x:v>Reinforced gate</x:v>
      </x:c>
      <x:c r="C68" s="14" t="n">
        <x:v>2</x:v>
      </x:c>
      <x:c r="D68" s="26" t="n">
        <x:v>0</x:v>
      </x:c>
      <x:c r="E68" s="14" t="n">
        <x:v>2</x:v>
      </x:c>
      <x:c r="F68" s="14" t="n">
        <x:v>2</x:v>
      </x:c>
      <x:c r="G68" s="14" t="str">
        <x:v>Fortifier</x:v>
      </x:c>
      <x:c r="H68" s="14" t="n">
        <x:v>6</x:v>
      </x:c>
      <x:c r="I68" s="14" t="n">
        <x:v>0</x:v>
      </x:c>
      <x:c r="J68" s="14" t="n">
        <x:v>2</x:v>
      </x:c>
      <x:c r="K68" s="14" t="n">
        <x:v>4</x:v>
      </x:c>
      <x:c r="L68" s="14" t="n">
        <x:v>0</x:v>
      </x:c>
      <x:c r="M68" s="14" t="n">
        <x:v>0</x:v>
      </x:c>
      <x:c r="N68" s="14" t="n">
        <x:v>0</x:v>
      </x:c>
      <x:c r="O68" s="14" t="str">
        <x:v>Timber palisade gate</x:v>
      </x:c>
      <x:c r="P68" s="14" t="str">
        <x:v>Research blueprint</x:v>
      </x:c>
    </x:row>
    <x:row r="69" ht="34" customHeight="1">
      <x:c r="A69" s="15" t="n">
        <x:v>60</x:v>
      </x:c>
      <x:c r="B69" s="15" t="str">
        <x:v>Scrap barrier</x:v>
      </x:c>
      <x:c r="C69" s="15" t="n">
        <x:v>3</x:v>
      </x:c>
      <x:c r="D69" s="26" t="n">
        <x:v>0</x:v>
      </x:c>
      <x:c r="E69" s="15" t="n">
        <x:v>3</x:v>
      </x:c>
      <x:c r="F69" s="15" t="n">
        <x:v>3</x:v>
      </x:c>
      <x:c r="G69" s="15" t="str">
        <x:v>Fortifier</x:v>
      </x:c>
      <x:c r="H69" s="15" t="n">
        <x:v>3</x:v>
      </x:c>
      <x:c r="I69" s="15" t="n">
        <x:v>0</x:v>
      </x:c>
      <x:c r="J69" s="15" t="n">
        <x:v>2</x:v>
      </x:c>
      <x:c r="K69" s="15" t="n">
        <x:v>0</x:v>
      </x:c>
      <x:c r="L69" s="15" t="n">
        <x:v>5</x:v>
      </x:c>
      <x:c r="M69" s="15" t="n">
        <x:v>0</x:v>
      </x:c>
      <x:c r="N69" s="15" t="n">
        <x:v>0</x:v>
      </x:c>
      <x:c r="O69" s="15" t="str">
        <x:v>Wood barricade</x:v>
      </x:c>
      <x:c r="P69" s="15" t="str">
        <x:v>Research blueprint</x:v>
      </x:c>
    </x:row>
    <x:row r="70" ht="34" customHeight="1">
      <x:c r="A70" s="14" t="n">
        <x:v>61</x:v>
      </x:c>
      <x:c r="B70" s="14" t="str">
        <x:v>Noise lure</x:v>
      </x:c>
      <x:c r="C70" s="14" t="n">
        <x:v>3</x:v>
      </x:c>
      <x:c r="D70" s="26" t="n">
        <x:v>0</x:v>
      </x:c>
      <x:c r="E70" s="14" t="n">
        <x:v>3</x:v>
      </x:c>
      <x:c r="F70" s="14" t="n">
        <x:v>3</x:v>
      </x:c>
      <x:c r="G70" s="14" t="str">
        <x:v>Trapper</x:v>
      </x:c>
      <x:c r="H70" s="14" t="n">
        <x:v>3</x:v>
      </x:c>
      <x:c r="I70" s="14" t="n">
        <x:v>0</x:v>
      </x:c>
      <x:c r="J70" s="14" t="n">
        <x:v>2</x:v>
      </x:c>
      <x:c r="K70" s="14" t="n">
        <x:v>0</x:v>
      </x:c>
      <x:c r="L70" s="14" t="n">
        <x:v>5</x:v>
      </x:c>
      <x:c r="M70" s="14" t="n">
        <x:v>0</x:v>
      </x:c>
      <x:c r="N70" s="14" t="n">
        <x:v>0</x:v>
      </x:c>
      <x:c r="O70" s="14" t="str">
        <x:v>None</x:v>
      </x:c>
      <x:c r="P70" s="14" t="str">
        <x:v>Research blueprint</x:v>
      </x:c>
    </x:row>
    <x:row r="71" ht="34" customHeight="1">
      <x:c r="A71" s="15" t="n">
        <x:v>62</x:v>
      </x:c>
      <x:c r="B71" s="15" t="str">
        <x:v>Mounted machine gun</x:v>
      </x:c>
      <x:c r="C71" s="15" t="n">
        <x:v>3</x:v>
      </x:c>
      <x:c r="D71" s="26" t="n">
        <x:v>0</x:v>
      </x:c>
      <x:c r="E71" s="15" t="n">
        <x:v>3</x:v>
      </x:c>
      <x:c r="F71" s="15" t="n">
        <x:v>3</x:v>
      </x:c>
      <x:c r="G71" s="15" t="str">
        <x:v>Sentinel</x:v>
      </x:c>
      <x:c r="H71" s="15" t="n">
        <x:v>3</x:v>
      </x:c>
      <x:c r="I71" s="15" t="n">
        <x:v>0</x:v>
      </x:c>
      <x:c r="J71" s="15" t="n">
        <x:v>2</x:v>
      </x:c>
      <x:c r="K71" s="15" t="n">
        <x:v>0</x:v>
      </x:c>
      <x:c r="L71" s="15" t="n">
        <x:v>5</x:v>
      </x:c>
      <x:c r="M71" s="15" t="n">
        <x:v>0</x:v>
      </x:c>
      <x:c r="N71" s="15" t="n">
        <x:v>0</x:v>
      </x:c>
      <x:c r="O71" s="15" t="str">
        <x:v>None</x:v>
      </x:c>
      <x:c r="P71" s="15" t="str">
        <x:v>Research blueprint</x:v>
      </x:c>
    </x:row>
    <x:row r="72" ht="34" customHeight="1">
      <x:c r="A72" s="14" t="n">
        <x:v>63</x:v>
      </x:c>
      <x:c r="B72" s="14" t="str">
        <x:v>Electric fence</x:v>
      </x:c>
      <x:c r="C72" s="14" t="n">
        <x:v>4</x:v>
      </x:c>
      <x:c r="D72" s="26" t="n">
        <x:v>0</x:v>
      </x:c>
      <x:c r="E72" s="14" t="n">
        <x:v>4</x:v>
      </x:c>
      <x:c r="F72" s="14" t="n">
        <x:v>4</x:v>
      </x:c>
      <x:c r="G72" s="14" t="str">
        <x:v>Sentinel</x:v>
      </x:c>
      <x:c r="H72" s="14" t="n">
        <x:v>3</x:v>
      </x:c>
      <x:c r="I72" s="14" t="n">
        <x:v>0</x:v>
      </x:c>
      <x:c r="J72" s="14" t="n">
        <x:v>2</x:v>
      </x:c>
      <x:c r="K72" s="14" t="n">
        <x:v>0</x:v>
      </x:c>
      <x:c r="L72" s="14" t="n">
        <x:v>5</x:v>
      </x:c>
      <x:c r="M72" s="14" t="n">
        <x:v>6</x:v>
      </x:c>
      <x:c r="N72" s="14" t="n">
        <x:v>0</x:v>
      </x:c>
      <x:c r="O72" s="14" t="str">
        <x:v>None</x:v>
      </x:c>
      <x:c r="P72" s="14" t="str">
        <x:v>Research blueprint</x:v>
      </x:c>
    </x:row>
    <x:row r="73" ht="34" customHeight="1">
      <x:c r="A73" s="15" t="n">
        <x:v>64</x:v>
      </x:c>
      <x:c r="B73" s="15" t="str">
        <x:v>Perimeter alarm</x:v>
      </x:c>
      <x:c r="C73" s="15" t="n">
        <x:v>4</x:v>
      </x:c>
      <x:c r="D73" s="26" t="n">
        <x:v>0</x:v>
      </x:c>
      <x:c r="E73" s="15" t="n">
        <x:v>4</x:v>
      </x:c>
      <x:c r="F73" s="15" t="n">
        <x:v>4</x:v>
      </x:c>
      <x:c r="G73" s="15" t="str">
        <x:v>Trapper</x:v>
      </x:c>
      <x:c r="H73" s="15" t="n">
        <x:v>3</x:v>
      </x:c>
      <x:c r="I73" s="15" t="n">
        <x:v>0</x:v>
      </x:c>
      <x:c r="J73" s="15" t="n">
        <x:v>2</x:v>
      </x:c>
      <x:c r="K73" s="15" t="n">
        <x:v>0</x:v>
      </x:c>
      <x:c r="L73" s="15" t="n">
        <x:v>5</x:v>
      </x:c>
      <x:c r="M73" s="15" t="n">
        <x:v>6</x:v>
      </x:c>
      <x:c r="N73" s="15" t="n">
        <x:v>0</x:v>
      </x:c>
      <x:c r="O73" s="15" t="str">
        <x:v>None</x:v>
      </x:c>
      <x:c r="P73" s="15" t="str">
        <x:v>Research blueprint</x:v>
      </x:c>
    </x:row>
    <x:row r="74" ht="34" customHeight="1">
      <x:c r="A74" s="14" t="n">
        <x:v>65</x:v>
      </x:c>
      <x:c r="B74" s="14" t="str">
        <x:v>Searchlight</x:v>
      </x:c>
      <x:c r="C74" s="14" t="n">
        <x:v>4</x:v>
      </x:c>
      <x:c r="D74" s="26" t="n">
        <x:v>0</x:v>
      </x:c>
      <x:c r="E74" s="14" t="n">
        <x:v>4</x:v>
      </x:c>
      <x:c r="F74" s="14" t="n">
        <x:v>4</x:v>
      </x:c>
      <x:c r="G74" s="14" t="str">
        <x:v>Fortifier</x:v>
      </x:c>
      <x:c r="H74" s="14" t="n">
        <x:v>3</x:v>
      </x:c>
      <x:c r="I74" s="14" t="n">
        <x:v>0</x:v>
      </x:c>
      <x:c r="J74" s="14" t="n">
        <x:v>2</x:v>
      </x:c>
      <x:c r="K74" s="14" t="n">
        <x:v>0</x:v>
      </x:c>
      <x:c r="L74" s="14" t="n">
        <x:v>5</x:v>
      </x:c>
      <x:c r="M74" s="14" t="n">
        <x:v>6</x:v>
      </x:c>
      <x:c r="N74" s="14" t="n">
        <x:v>0</x:v>
      </x:c>
      <x:c r="O74" s="14" t="str">
        <x:v>None</x:v>
      </x:c>
      <x:c r="P74" s="14" t="str">
        <x:v>Research blueprint</x:v>
      </x:c>
    </x:row>
    <x:row r="75" ht="34" customHeight="1">
      <x:c r="A75" s="15" t="n">
        <x:v>66</x:v>
      </x:c>
      <x:c r="B75" s="15" t="str">
        <x:v>Heavy defensive turret</x:v>
      </x:c>
      <x:c r="C75" s="15" t="n">
        <x:v>5</x:v>
      </x:c>
      <x:c r="D75" s="26" t="n">
        <x:v>0</x:v>
      </x:c>
      <x:c r="E75" s="15" t="n">
        <x:v>5</x:v>
      </x:c>
      <x:c r="F75" s="15" t="n">
        <x:v>5</x:v>
      </x:c>
      <x:c r="G75" s="15" t="str">
        <x:v>Sentinel</x:v>
      </x:c>
      <x:c r="H75" s="15" t="n">
        <x:v>3</x:v>
      </x:c>
      <x:c r="I75" s="15" t="n">
        <x:v>0</x:v>
      </x:c>
      <x:c r="J75" s="15" t="n">
        <x:v>2</x:v>
      </x:c>
      <x:c r="K75" s="15" t="n">
        <x:v>0</x:v>
      </x:c>
      <x:c r="L75" s="15" t="n">
        <x:v>5</x:v>
      </x:c>
      <x:c r="M75" s="15" t="n">
        <x:v>0</x:v>
      </x:c>
      <x:c r="N75" s="15" t="n">
        <x:v>7</x:v>
      </x:c>
      <x:c r="O75" s="15" t="str">
        <x:v>Mounted machine gun</x:v>
      </x:c>
      <x:c r="P75" s="15" t="str">
        <x:v>Research blueprint</x:v>
      </x:c>
    </x:row>
    <x:row r="76" ht="34" customHeight="1">
      <x:c r="A76" s="14" t="n">
        <x:v>67</x:v>
      </x:c>
      <x:c r="B76" s="14" t="str">
        <x:v>Powered shock trap</x:v>
      </x:c>
      <x:c r="C76" s="14" t="n">
        <x:v>5</x:v>
      </x:c>
      <x:c r="D76" s="26" t="n">
        <x:v>0</x:v>
      </x:c>
      <x:c r="E76" s="14" t="n">
        <x:v>5</x:v>
      </x:c>
      <x:c r="F76" s="14" t="n">
        <x:v>5</x:v>
      </x:c>
      <x:c r="G76" s="14" t="str">
        <x:v>Sentinel</x:v>
      </x:c>
      <x:c r="H76" s="14" t="n">
        <x:v>3</x:v>
      </x:c>
      <x:c r="I76" s="14" t="n">
        <x:v>0</x:v>
      </x:c>
      <x:c r="J76" s="14" t="n">
        <x:v>2</x:v>
      </x:c>
      <x:c r="K76" s="14" t="n">
        <x:v>0</x:v>
      </x:c>
      <x:c r="L76" s="14" t="n">
        <x:v>5</x:v>
      </x:c>
      <x:c r="M76" s="14" t="n">
        <x:v>0</x:v>
      </x:c>
      <x:c r="N76" s="14" t="n">
        <x:v>7</x:v>
      </x:c>
      <x:c r="O76" s="14" t="str">
        <x:v>None</x:v>
      </x:c>
      <x:c r="P76" s="14" t="str">
        <x:v>Research blueprint</x:v>
      </x:c>
    </x:row>
    <x:row r="77" ht="34" customHeight="1">
      <x:c r="A77" s="15" t="n">
        <x:v>68</x:v>
      </x:c>
      <x:c r="B77" s="15" t="str">
        <x:v>Campfire</x:v>
      </x:c>
      <x:c r="C77" s="15" t="n">
        <x:v>1</x:v>
      </x:c>
      <x:c r="D77" s="26" t="n">
        <x:v>0</x:v>
      </x:c>
      <x:c r="E77" s="15" t="n">
        <x:v>0</x:v>
      </x:c>
      <x:c r="F77" s="15" t="n">
        <x:v>1</x:v>
      </x:c>
      <x:c r="G77" s="15" t="str">
        <x:v>Pathfinder</x:v>
      </x:c>
      <x:c r="H77" s="15" t="n">
        <x:v>6</x:v>
      </x:c>
      <x:c r="I77" s="15" t="n">
        <x:v>4</x:v>
      </x:c>
      <x:c r="J77" s="15" t="n">
        <x:v>3</x:v>
      </x:c>
      <x:c r="K77" s="15" t="n">
        <x:v>0</x:v>
      </x:c>
      <x:c r="L77" s="15" t="n">
        <x:v>0</x:v>
      </x:c>
      <x:c r="M77" s="15" t="n">
        <x:v>0</x:v>
      </x:c>
      <x:c r="N77" s="15" t="n">
        <x:v>0</x:v>
      </x:c>
      <x:c r="O77" s="15" t="str">
        <x:v>None</x:v>
      </x:c>
      <x:c r="P77" s="15" t="str">
        <x:v>Research blueprint</x:v>
      </x:c>
    </x:row>
    <x:row r="78" ht="34" customHeight="1">
      <x:c r="A78" s="14" t="n">
        <x:v>69</x:v>
      </x:c>
      <x:c r="B78" s="14" t="str">
        <x:v>Boiling kettle</x:v>
      </x:c>
      <x:c r="C78" s="14" t="n">
        <x:v>1</x:v>
      </x:c>
      <x:c r="D78" s="26" t="n">
        <x:v>0</x:v>
      </x:c>
      <x:c r="E78" s="14" t="n">
        <x:v>0</x:v>
      </x:c>
      <x:c r="F78" s="14" t="n">
        <x:v>1</x:v>
      </x:c>
      <x:c r="G78" s="14" t="str">
        <x:v>Waterworks</x:v>
      </x:c>
      <x:c r="H78" s="14" t="n">
        <x:v>6</x:v>
      </x:c>
      <x:c r="I78" s="14" t="n">
        <x:v>4</x:v>
      </x:c>
      <x:c r="J78" s="14" t="n">
        <x:v>3</x:v>
      </x:c>
      <x:c r="K78" s="14" t="n">
        <x:v>0</x:v>
      </x:c>
      <x:c r="L78" s="14" t="n">
        <x:v>0</x:v>
      </x:c>
      <x:c r="M78" s="14" t="n">
        <x:v>0</x:v>
      </x:c>
      <x:c r="N78" s="14" t="n">
        <x:v>0</x:v>
      </x:c>
      <x:c r="O78" s="14" t="str">
        <x:v>None</x:v>
      </x:c>
      <x:c r="P78" s="14" t="str">
        <x:v>Research blueprint</x:v>
      </x:c>
    </x:row>
    <x:row r="79" ht="34" customHeight="1">
      <x:c r="A79" s="15" t="n">
        <x:v>70</x:v>
      </x:c>
      <x:c r="B79" s="15" t="str">
        <x:v>Rain collector</x:v>
      </x:c>
      <x:c r="C79" s="15" t="n">
        <x:v>2</x:v>
      </x:c>
      <x:c r="D79" s="26" t="n">
        <x:v>0</x:v>
      </x:c>
      <x:c r="E79" s="15" t="n">
        <x:v>2</x:v>
      </x:c>
      <x:c r="F79" s="15" t="n">
        <x:v>2</x:v>
      </x:c>
      <x:c r="G79" s="15" t="str">
        <x:v>Waterworks</x:v>
      </x:c>
      <x:c r="H79" s="15" t="n">
        <x:v>6</x:v>
      </x:c>
      <x:c r="I79" s="15" t="n">
        <x:v>4</x:v>
      </x:c>
      <x:c r="J79" s="15" t="n">
        <x:v>2</x:v>
      </x:c>
      <x:c r="K79" s="15" t="n">
        <x:v>4</x:v>
      </x:c>
      <x:c r="L79" s="15" t="n">
        <x:v>0</x:v>
      </x:c>
      <x:c r="M79" s="15" t="n">
        <x:v>0</x:v>
      </x:c>
      <x:c r="N79" s="15" t="n">
        <x:v>0</x:v>
      </x:c>
      <x:c r="O79" s="15" t="str">
        <x:v>Boiling kettle</x:v>
      </x:c>
      <x:c r="P79" s="15" t="str">
        <x:v>Research blueprint</x:v>
      </x:c>
    </x:row>
    <x:row r="80" ht="34" customHeight="1">
      <x:c r="A80" s="14" t="n">
        <x:v>71</x:v>
      </x:c>
      <x:c r="B80" s="14" t="str">
        <x:v>Drying rack</x:v>
      </x:c>
      <x:c r="C80" s="14" t="n">
        <x:v>2</x:v>
      </x:c>
      <x:c r="D80" s="26" t="n">
        <x:v>0</x:v>
      </x:c>
      <x:c r="E80" s="14" t="n">
        <x:v>2</x:v>
      </x:c>
      <x:c r="F80" s="14" t="n">
        <x:v>2</x:v>
      </x:c>
      <x:c r="G80" s="14" t="str">
        <x:v>Pathfinder</x:v>
      </x:c>
      <x:c r="H80" s="14" t="n">
        <x:v>6</x:v>
      </x:c>
      <x:c r="I80" s="14" t="n">
        <x:v>0</x:v>
      </x:c>
      <x:c r="J80" s="14" t="n">
        <x:v>2</x:v>
      </x:c>
      <x:c r="K80" s="14" t="n">
        <x:v>4</x:v>
      </x:c>
      <x:c r="L80" s="14" t="n">
        <x:v>0</x:v>
      </x:c>
      <x:c r="M80" s="14" t="n">
        <x:v>0</x:v>
      </x:c>
      <x:c r="N80" s="14" t="n">
        <x:v>0</x:v>
      </x:c>
      <x:c r="O80" s="14" t="str">
        <x:v>None</x:v>
      </x:c>
      <x:c r="P80" s="14" t="str">
        <x:v>Research blueprint</x:v>
      </x:c>
    </x:row>
    <x:row r="81" ht="34" customHeight="1">
      <x:c r="A81" s="15" t="n">
        <x:v>72</x:v>
      </x:c>
      <x:c r="B81" s="15" t="str">
        <x:v>Crop bed</x:v>
      </x:c>
      <x:c r="C81" s="15" t="n">
        <x:v>2</x:v>
      </x:c>
      <x:c r="D81" s="26" t="n">
        <x:v>0</x:v>
      </x:c>
      <x:c r="E81" s="15" t="n">
        <x:v>2</x:v>
      </x:c>
      <x:c r="F81" s="15" t="n">
        <x:v>2</x:v>
      </x:c>
      <x:c r="G81" s="15" t="str">
        <x:v>Pathfinder</x:v>
      </x:c>
      <x:c r="H81" s="15" t="n">
        <x:v>6</x:v>
      </x:c>
      <x:c r="I81" s="15" t="n">
        <x:v>0</x:v>
      </x:c>
      <x:c r="J81" s="15" t="n">
        <x:v>2</x:v>
      </x:c>
      <x:c r="K81" s="15" t="n">
        <x:v>4</x:v>
      </x:c>
      <x:c r="L81" s="15" t="n">
        <x:v>0</x:v>
      </x:c>
      <x:c r="M81" s="15" t="n">
        <x:v>0</x:v>
      </x:c>
      <x:c r="N81" s="15" t="n">
        <x:v>0</x:v>
      </x:c>
      <x:c r="O81" s="15" t="str">
        <x:v>None</x:v>
      </x:c>
      <x:c r="P81" s="15" t="str">
        <x:v>Research blueprint</x:v>
      </x:c>
    </x:row>
    <x:row r="82" ht="34" customHeight="1">
      <x:c r="A82" s="14" t="n">
        <x:v>73</x:v>
      </x:c>
      <x:c r="B82" s="14" t="str">
        <x:v>Water well</x:v>
      </x:c>
      <x:c r="C82" s="14" t="n">
        <x:v>3</x:v>
      </x:c>
      <x:c r="D82" s="26" t="n">
        <x:v>0</x:v>
      </x:c>
      <x:c r="E82" s="14" t="n">
        <x:v>3</x:v>
      </x:c>
      <x:c r="F82" s="14" t="n">
        <x:v>3</x:v>
      </x:c>
      <x:c r="G82" s="14" t="str">
        <x:v>Waterworks</x:v>
      </x:c>
      <x:c r="H82" s="14" t="n">
        <x:v>3</x:v>
      </x:c>
      <x:c r="I82" s="14" t="n">
        <x:v>4</x:v>
      </x:c>
      <x:c r="J82" s="14" t="n">
        <x:v>2</x:v>
      </x:c>
      <x:c r="K82" s="14" t="n">
        <x:v>0</x:v>
      </x:c>
      <x:c r="L82" s="14" t="n">
        <x:v>5</x:v>
      </x:c>
      <x:c r="M82" s="14" t="n">
        <x:v>0</x:v>
      </x:c>
      <x:c r="N82" s="14" t="n">
        <x:v>0</x:v>
      </x:c>
      <x:c r="O82" s="14" t="str">
        <x:v>Rain collector</x:v>
      </x:c>
      <x:c r="P82" s="14" t="str">
        <x:v>Research blueprint</x:v>
      </x:c>
    </x:row>
    <x:row r="83" ht="34" customHeight="1">
      <x:c r="A83" s="15" t="n">
        <x:v>74</x:v>
      </x:c>
      <x:c r="B83" s="15" t="str">
        <x:v>Refrigerator</x:v>
      </x:c>
      <x:c r="C83" s="15" t="n">
        <x:v>3</x:v>
      </x:c>
      <x:c r="D83" s="26" t="n">
        <x:v>0</x:v>
      </x:c>
      <x:c r="E83" s="15" t="n">
        <x:v>3</x:v>
      </x:c>
      <x:c r="F83" s="15" t="n">
        <x:v>3</x:v>
      </x:c>
      <x:c r="G83" s="15" t="str">
        <x:v>Pathfinder</x:v>
      </x:c>
      <x:c r="H83" s="15" t="n">
        <x:v>3</x:v>
      </x:c>
      <x:c r="I83" s="15" t="n">
        <x:v>0</x:v>
      </x:c>
      <x:c r="J83" s="15" t="n">
        <x:v>2</x:v>
      </x:c>
      <x:c r="K83" s="15" t="n">
        <x:v>0</x:v>
      </x:c>
      <x:c r="L83" s="15" t="n">
        <x:v>5</x:v>
      </x:c>
      <x:c r="M83" s="15" t="n">
        <x:v>0</x:v>
      </x:c>
      <x:c r="N83" s="15" t="n">
        <x:v>0</x:v>
      </x:c>
      <x:c r="O83" s="15" t="str">
        <x:v>None</x:v>
      </x:c>
      <x:c r="P83" s="15" t="str">
        <x:v>Research blueprint</x:v>
      </x:c>
    </x:row>
    <x:row r="84" ht="34" customHeight="1">
      <x:c r="A84" s="14" t="n">
        <x:v>75</x:v>
      </x:c>
      <x:c r="B84" s="14" t="str">
        <x:v>Field kitchen</x:v>
      </x:c>
      <x:c r="C84" s="14" t="n">
        <x:v>3</x:v>
      </x:c>
      <x:c r="D84" s="26" t="n">
        <x:v>0</x:v>
      </x:c>
      <x:c r="E84" s="14" t="n">
        <x:v>3</x:v>
      </x:c>
      <x:c r="F84" s="14" t="n">
        <x:v>3</x:v>
      </x:c>
      <x:c r="G84" s="14" t="str">
        <x:v>Pathfinder</x:v>
      </x:c>
      <x:c r="H84" s="14" t="n">
        <x:v>3</x:v>
      </x:c>
      <x:c r="I84" s="14" t="n">
        <x:v>4</x:v>
      </x:c>
      <x:c r="J84" s="14" t="n">
        <x:v>2</x:v>
      </x:c>
      <x:c r="K84" s="14" t="n">
        <x:v>0</x:v>
      </x:c>
      <x:c r="L84" s="14" t="n">
        <x:v>5</x:v>
      </x:c>
      <x:c r="M84" s="14" t="n">
        <x:v>0</x:v>
      </x:c>
      <x:c r="N84" s="14" t="n">
        <x:v>0</x:v>
      </x:c>
      <x:c r="O84" s="14" t="str">
        <x:v>Campfire</x:v>
      </x:c>
      <x:c r="P84" s="14" t="str">
        <x:v>Research blueprint</x:v>
      </x:c>
    </x:row>
    <x:row r="85" ht="34" customHeight="1">
      <x:c r="A85" s="15" t="n">
        <x:v>76</x:v>
      </x:c>
      <x:c r="B85" s="15" t="str">
        <x:v>Medical station</x:v>
      </x:c>
      <x:c r="C85" s="15" t="n">
        <x:v>4</x:v>
      </x:c>
      <x:c r="D85" s="26" t="n">
        <x:v>0</x:v>
      </x:c>
      <x:c r="E85" s="15" t="n">
        <x:v>4</x:v>
      </x:c>
      <x:c r="F85" s="15" t="n">
        <x:v>4</x:v>
      </x:c>
      <x:c r="G85" s="15" t="str">
        <x:v>Herbalist</x:v>
      </x:c>
      <x:c r="H85" s="15" t="n">
        <x:v>3</x:v>
      </x:c>
      <x:c r="I85" s="15" t="n">
        <x:v>0</x:v>
      </x:c>
      <x:c r="J85" s="15" t="n">
        <x:v>2</x:v>
      </x:c>
      <x:c r="K85" s="15" t="n">
        <x:v>0</x:v>
      </x:c>
      <x:c r="L85" s="15" t="n">
        <x:v>5</x:v>
      </x:c>
      <x:c r="M85" s="15" t="n">
        <x:v>6</x:v>
      </x:c>
      <x:c r="N85" s="15" t="n">
        <x:v>0</x:v>
      </x:c>
      <x:c r="O85" s="15" t="str">
        <x:v>None</x:v>
      </x:c>
      <x:c r="P85" s="15" t="str">
        <x:v>Research blueprint</x:v>
      </x:c>
    </x:row>
    <x:row r="86" ht="34" customHeight="1">
      <x:c r="A86" s="14" t="n">
        <x:v>77</x:v>
      </x:c>
      <x:c r="B86" s="14" t="str">
        <x:v>Water filter</x:v>
      </x:c>
      <x:c r="C86" s="14" t="n">
        <x:v>4</x:v>
      </x:c>
      <x:c r="D86" s="26" t="n">
        <x:v>0</x:v>
      </x:c>
      <x:c r="E86" s="14" t="n">
        <x:v>4</x:v>
      </x:c>
      <x:c r="F86" s="14" t="n">
        <x:v>4</x:v>
      </x:c>
      <x:c r="G86" s="14" t="str">
        <x:v>Waterworks</x:v>
      </x:c>
      <x:c r="H86" s="14" t="n">
        <x:v>3</x:v>
      </x:c>
      <x:c r="I86" s="14" t="n">
        <x:v>4</x:v>
      </x:c>
      <x:c r="J86" s="14" t="n">
        <x:v>2</x:v>
      </x:c>
      <x:c r="K86" s="14" t="n">
        <x:v>0</x:v>
      </x:c>
      <x:c r="L86" s="14" t="n">
        <x:v>5</x:v>
      </x:c>
      <x:c r="M86" s="14" t="n">
        <x:v>6</x:v>
      </x:c>
      <x:c r="N86" s="14" t="n">
        <x:v>0</x:v>
      </x:c>
      <x:c r="O86" s="14" t="str">
        <x:v>Water well</x:v>
      </x:c>
      <x:c r="P86" s="14" t="str">
        <x:v>Research blueprint</x:v>
      </x:c>
    </x:row>
    <x:row r="87" ht="34" customHeight="1">
      <x:c r="A87" s="15" t="n">
        <x:v>78</x:v>
      </x:c>
      <x:c r="B87" s="15" t="str">
        <x:v>Greenhouse</x:v>
      </x:c>
      <x:c r="C87" s="15" t="n">
        <x:v>4</x:v>
      </x:c>
      <x:c r="D87" s="26" t="n">
        <x:v>0</x:v>
      </x:c>
      <x:c r="E87" s="15" t="n">
        <x:v>4</x:v>
      </x:c>
      <x:c r="F87" s="15" t="n">
        <x:v>4</x:v>
      </x:c>
      <x:c r="G87" s="15" t="str">
        <x:v>Pathfinder</x:v>
      </x:c>
      <x:c r="H87" s="15" t="n">
        <x:v>3</x:v>
      </x:c>
      <x:c r="I87" s="15" t="n">
        <x:v>0</x:v>
      </x:c>
      <x:c r="J87" s="15" t="n">
        <x:v>2</x:v>
      </x:c>
      <x:c r="K87" s="15" t="n">
        <x:v>0</x:v>
      </x:c>
      <x:c r="L87" s="15" t="n">
        <x:v>5</x:v>
      </x:c>
      <x:c r="M87" s="15" t="n">
        <x:v>6</x:v>
      </x:c>
      <x:c r="N87" s="15" t="n">
        <x:v>0</x:v>
      </x:c>
      <x:c r="O87" s="15" t="str">
        <x:v>Crop bed</x:v>
      </x:c>
      <x:c r="P87" s="15" t="str">
        <x:v>Research blueprint</x:v>
      </x:c>
    </x:row>
    <x:row r="88" ht="34" customHeight="1">
      <x:c r="A88" s="14" t="n">
        <x:v>79</x:v>
      </x:c>
      <x:c r="B88" s="14" t="str">
        <x:v>Advanced medical station</x:v>
      </x:c>
      <x:c r="C88" s="14" t="n">
        <x:v>5</x:v>
      </x:c>
      <x:c r="D88" s="26" t="n">
        <x:v>0</x:v>
      </x:c>
      <x:c r="E88" s="14" t="n">
        <x:v>5</x:v>
      </x:c>
      <x:c r="F88" s="14" t="n">
        <x:v>5</x:v>
      </x:c>
      <x:c r="G88" s="14" t="str">
        <x:v>Herbalist</x:v>
      </x:c>
      <x:c r="H88" s="14" t="n">
        <x:v>3</x:v>
      </x:c>
      <x:c r="I88" s="14" t="n">
        <x:v>0</x:v>
      </x:c>
      <x:c r="J88" s="14" t="n">
        <x:v>2</x:v>
      </x:c>
      <x:c r="K88" s="14" t="n">
        <x:v>0</x:v>
      </x:c>
      <x:c r="L88" s="14" t="n">
        <x:v>5</x:v>
      </x:c>
      <x:c r="M88" s="14" t="n">
        <x:v>0</x:v>
      </x:c>
      <x:c r="N88" s="14" t="n">
        <x:v>7</x:v>
      </x:c>
      <x:c r="O88" s="14" t="str">
        <x:v>Medical station</x:v>
      </x:c>
      <x:c r="P88" s="14" t="str">
        <x:v>Research blueprint</x:v>
      </x:c>
    </x:row>
    <x:row r="89" ht="34" customHeight="1">
      <x:c r="A89" s="15" t="n">
        <x:v>80</x:v>
      </x:c>
      <x:c r="B89" s="15" t="str">
        <x:v>Efficient generator</x:v>
      </x:c>
      <x:c r="C89" s="15" t="n">
        <x:v>5</x:v>
      </x:c>
      <x:c r="D89" s="26" t="n">
        <x:v>0</x:v>
      </x:c>
      <x:c r="E89" s="15" t="n">
        <x:v>5</x:v>
      </x:c>
      <x:c r="F89" s="15" t="n">
        <x:v>5</x:v>
      </x:c>
      <x:c r="G89" s="15" t="str">
        <x:v>Engineer</x:v>
      </x:c>
      <x:c r="H89" s="15" t="n">
        <x:v>3</x:v>
      </x:c>
      <x:c r="I89" s="15" t="n">
        <x:v>0</x:v>
      </x:c>
      <x:c r="J89" s="15" t="n">
        <x:v>2</x:v>
      </x:c>
      <x:c r="K89" s="15" t="n">
        <x:v>0</x:v>
      </x:c>
      <x:c r="L89" s="15" t="n">
        <x:v>5</x:v>
      </x:c>
      <x:c r="M89" s="15" t="n">
        <x:v>0</x:v>
      </x:c>
      <x:c r="N89" s="15" t="n">
        <x:v>7</x:v>
      </x:c>
      <x:c r="O89" s="15" t="str">
        <x:v>Generator</x:v>
      </x:c>
      <x:c r="P89" s="15" t="str">
        <x:v>Research blueprint</x:v>
      </x:c>
    </x:row>
    <x:row r="90" ht="34" customHeight="1">
      <x:c r="A90" s="14" t="n">
        <x:v>81</x:v>
      </x:c>
      <x:c r="B90" s="14" t="str">
        <x:v>Bulk water tank</x:v>
      </x:c>
      <x:c r="C90" s="14" t="n">
        <x:v>5</x:v>
      </x:c>
      <x:c r="D90" s="26" t="n">
        <x:v>0</x:v>
      </x:c>
      <x:c r="E90" s="14" t="n">
        <x:v>5</x:v>
      </x:c>
      <x:c r="F90" s="14" t="n">
        <x:v>5</x:v>
      </x:c>
      <x:c r="G90" s="14" t="str">
        <x:v>Waterworks</x:v>
      </x:c>
      <x:c r="H90" s="14" t="n">
        <x:v>3</x:v>
      </x:c>
      <x:c r="I90" s="14" t="n">
        <x:v>4</x:v>
      </x:c>
      <x:c r="J90" s="14" t="n">
        <x:v>2</x:v>
      </x:c>
      <x:c r="K90" s="14" t="n">
        <x:v>0</x:v>
      </x:c>
      <x:c r="L90" s="14" t="n">
        <x:v>5</x:v>
      </x:c>
      <x:c r="M90" s="14" t="n">
        <x:v>0</x:v>
      </x:c>
      <x:c r="N90" s="14" t="n">
        <x:v>7</x:v>
      </x:c>
      <x:c r="O90" s="14" t="str">
        <x:v>Water filter</x:v>
      </x:c>
      <x:c r="P90" s="14" t="str">
        <x:v>Research blueprint</x:v>
      </x:c>
    </x:row>
    <x:row r="91" ht="34" customHeight="1">
      <x:c r="A91" s="15" t="n">
        <x:v>82</x:v>
      </x:c>
      <x:c r="B91" s="15" t="str">
        <x:v>Hydroponic farm</x:v>
      </x:c>
      <x:c r="C91" s="15" t="n">
        <x:v>5</x:v>
      </x:c>
      <x:c r="D91" s="26" t="n">
        <x:v>0</x:v>
      </x:c>
      <x:c r="E91" s="15" t="n">
        <x:v>5</x:v>
      </x:c>
      <x:c r="F91" s="15" t="n">
        <x:v>5</x:v>
      </x:c>
      <x:c r="G91" s="15" t="str">
        <x:v>Pathfinder</x:v>
      </x:c>
      <x:c r="H91" s="15" t="n">
        <x:v>3</x:v>
      </x:c>
      <x:c r="I91" s="15" t="n">
        <x:v>0</x:v>
      </x:c>
      <x:c r="J91" s="15" t="n">
        <x:v>2</x:v>
      </x:c>
      <x:c r="K91" s="15" t="n">
        <x:v>0</x:v>
      </x:c>
      <x:c r="L91" s="15" t="n">
        <x:v>5</x:v>
      </x:c>
      <x:c r="M91" s="15" t="n">
        <x:v>0</x:v>
      </x:c>
      <x:c r="N91" s="15" t="n">
        <x:v>7</x:v>
      </x:c>
      <x:c r="O91" s="15" t="str">
        <x:v>Greenhouse</x:v>
      </x:c>
      <x:c r="P91" s="15" t="str">
        <x:v>Research blueprint</x:v>
      </x:c>
    </x:row>
    <x:row r="92" ht="34" customHeight="1">
      <x:c r="A92" s="14" t="n">
        <x:v>83</x:v>
      </x:c>
      <x:c r="B92" s="14" t="str">
        <x:v>Survivor cot</x:v>
      </x:c>
      <x:c r="C92" s="14" t="n">
        <x:v>1</x:v>
      </x:c>
      <x:c r="D92" s="26" t="n">
        <x:v>0</x:v>
      </x:c>
      <x:c r="E92" s="14" t="n">
        <x:v>0</x:v>
      </x:c>
      <x:c r="F92" s="14" t="n">
        <x:v>1</x:v>
      </x:c>
      <x:c r="G92" s="14" t="str">
        <x:v>Pathfinder</x:v>
      </x:c>
      <x:c r="H92" s="14" t="n">
        <x:v>6</x:v>
      </x:c>
      <x:c r="I92" s="14" t="n">
        <x:v>0</x:v>
      </x:c>
      <x:c r="J92" s="14" t="n">
        <x:v>3</x:v>
      </x:c>
      <x:c r="K92" s="14" t="n">
        <x:v>0</x:v>
      </x:c>
      <x:c r="L92" s="14" t="n">
        <x:v>0</x:v>
      </x:c>
      <x:c r="M92" s="14" t="n">
        <x:v>0</x:v>
      </x:c>
      <x:c r="N92" s="14" t="n">
        <x:v>0</x:v>
      </x:c>
      <x:c r="O92" s="14" t="str">
        <x:v>None</x:v>
      </x:c>
      <x:c r="P92" s="14" t="str">
        <x:v>Research blueprint</x:v>
      </x:c>
    </x:row>
    <x:row r="93" ht="34" customHeight="1">
      <x:c r="A93" s="15" t="n">
        <x:v>84</x:v>
      </x:c>
      <x:c r="B93" s="15" t="str">
        <x:v>Salvaged table</x:v>
      </x:c>
      <x:c r="C93" s="15" t="n">
        <x:v>1</x:v>
      </x:c>
      <x:c r="D93" s="26" t="n">
        <x:v>0</x:v>
      </x:c>
      <x:c r="E93" s="15" t="n">
        <x:v>0</x:v>
      </x:c>
      <x:c r="F93" s="15" t="n">
        <x:v>0</x:v>
      </x:c>
      <x:c r="G93" s="15" t="str">
        <x:v>Homesteader</x:v>
      </x:c>
      <x:c r="H93" s="15" t="n">
        <x:v>4</x:v>
      </x:c>
      <x:c r="I93" s="15" t="n">
        <x:v>0</x:v>
      </x:c>
      <x:c r="J93" s="15" t="n">
        <x:v>2</x:v>
      </x:c>
      <x:c r="K93" s="15" t="n">
        <x:v>0</x:v>
      </x:c>
      <x:c r="L93" s="15" t="n">
        <x:v>0</x:v>
      </x:c>
      <x:c r="M93" s="15" t="n">
        <x:v>0</x:v>
      </x:c>
      <x:c r="N93" s="15" t="n">
        <x:v>0</x:v>
      </x:c>
      <x:c r="O93" s="15" t="str">
        <x:v>None</x:v>
      </x:c>
      <x:c r="P93" s="15" t="str">
        <x:v>Free blueprint</x:v>
      </x:c>
    </x:row>
    <x:row r="94" ht="34" customHeight="1">
      <x:c r="A94" s="14" t="n">
        <x:v>85</x:v>
      </x:c>
      <x:c r="B94" s="14" t="str">
        <x:v>Camp stool</x:v>
      </x:c>
      <x:c r="C94" s="14" t="n">
        <x:v>1</x:v>
      </x:c>
      <x:c r="D94" s="26" t="n">
        <x:v>0</x:v>
      </x:c>
      <x:c r="E94" s="14" t="n">
        <x:v>0</x:v>
      </x:c>
      <x:c r="F94" s="14" t="n">
        <x:v>0</x:v>
      </x:c>
      <x:c r="G94" s="14" t="str">
        <x:v>Homesteader</x:v>
      </x:c>
      <x:c r="H94" s="14" t="n">
        <x:v>2</x:v>
      </x:c>
      <x:c r="I94" s="14" t="n">
        <x:v>0</x:v>
      </x:c>
      <x:c r="J94" s="14" t="n">
        <x:v>2</x:v>
      </x:c>
      <x:c r="K94" s="14" t="n">
        <x:v>0</x:v>
      </x:c>
      <x:c r="L94" s="14" t="n">
        <x:v>0</x:v>
      </x:c>
      <x:c r="M94" s="14" t="n">
        <x:v>0</x:v>
      </x:c>
      <x:c r="N94" s="14" t="n">
        <x:v>0</x:v>
      </x:c>
      <x:c r="O94" s="14" t="str">
        <x:v>None</x:v>
      </x:c>
      <x:c r="P94" s="14" t="str">
        <x:v>Free blueprint</x:v>
      </x:c>
    </x:row>
    <x:row r="95" ht="34" customHeight="1">
      <x:c r="A95" s="15" t="n">
        <x:v>86</x:v>
      </x:c>
      <x:c r="B95" s="15" t="str">
        <x:v>Patchwork rug</x:v>
      </x:c>
      <x:c r="C95" s="15" t="n">
        <x:v>1</x:v>
      </x:c>
      <x:c r="D95" s="26" t="n">
        <x:v>0</x:v>
      </x:c>
      <x:c r="E95" s="15" t="n">
        <x:v>0</x:v>
      </x:c>
      <x:c r="F95" s="15" t="n">
        <x:v>0</x:v>
      </x:c>
      <x:c r="G95" s="15" t="str">
        <x:v>Homesteader</x:v>
      </x:c>
      <x:c r="H95" s="15" t="n">
        <x:v>4</x:v>
      </x:c>
      <x:c r="I95" s="15" t="n">
        <x:v>0</x:v>
      </x:c>
      <x:c r="J95" s="15" t="n">
        <x:v>6</x:v>
      </x:c>
      <x:c r="K95" s="15" t="n">
        <x:v>0</x:v>
      </x:c>
      <x:c r="L95" s="15" t="n">
        <x:v>0</x:v>
      </x:c>
      <x:c r="M95" s="15" t="n">
        <x:v>0</x:v>
      </x:c>
      <x:c r="N95" s="15" t="n">
        <x:v>0</x:v>
      </x:c>
      <x:c r="O95" s="15" t="str">
        <x:v>None</x:v>
      </x:c>
      <x:c r="P95" s="15" t="str">
        <x:v>Free blueprint</x:v>
      </x:c>
    </x:row>
    <x:row r="96" ht="34" customHeight="1">
      <x:c r="A96" s="14" t="n">
        <x:v>87</x:v>
      </x:c>
      <x:c r="B96" s="14" t="str">
        <x:v>Keepsake shelf</x:v>
      </x:c>
      <x:c r="C96" s="14" t="n">
        <x:v>1</x:v>
      </x:c>
      <x:c r="D96" s="26" t="n">
        <x:v>0</x:v>
      </x:c>
      <x:c r="E96" s="14" t="n">
        <x:v>0</x:v>
      </x:c>
      <x:c r="F96" s="14" t="n">
        <x:v>0</x:v>
      </x:c>
      <x:c r="G96" s="14" t="str">
        <x:v>Homesteader</x:v>
      </x:c>
      <x:c r="H96" s="14" t="n">
        <x:v>4</x:v>
      </x:c>
      <x:c r="I96" s="14" t="n">
        <x:v>0</x:v>
      </x:c>
      <x:c r="J96" s="14" t="n">
        <x:v>2</x:v>
      </x:c>
      <x:c r="K96" s="14" t="n">
        <x:v>0</x:v>
      </x:c>
      <x:c r="L96" s="14" t="n">
        <x:v>0</x:v>
      </x:c>
      <x:c r="M96" s="14" t="n">
        <x:v>0</x:v>
      </x:c>
      <x:c r="N96" s="14" t="n">
        <x:v>0</x:v>
      </x:c>
      <x:c r="O96" s="14" t="str">
        <x:v>None</x:v>
      </x:c>
      <x:c r="P96" s="14" t="str">
        <x:v>Free blueprint</x:v>
      </x:c>
    </x:row>
    <x:row r="97" ht="34" customHeight="1">
      <x:c r="A97" s="15" t="n">
        <x:v>88</x:v>
      </x:c>
      <x:c r="B97" s="15" t="str">
        <x:v>Resin lantern</x:v>
      </x:c>
      <x:c r="C97" s="15" t="n">
        <x:v>2</x:v>
      </x:c>
      <x:c r="D97" s="26" t="n">
        <x:v>0</x:v>
      </x:c>
      <x:c r="E97" s="15" t="n">
        <x:v>2</x:v>
      </x:c>
      <x:c r="F97" s="15" t="n">
        <x:v>2</x:v>
      </x:c>
      <x:c r="G97" s="15" t="str">
        <x:v>Homesteader</x:v>
      </x:c>
      <x:c r="H97" s="15" t="n">
        <x:v>4</x:v>
      </x:c>
      <x:c r="I97" s="15" t="n">
        <x:v>0</x:v>
      </x:c>
      <x:c r="J97" s="15" t="n">
        <x:v>2</x:v>
      </x:c>
      <x:c r="K97" s="15" t="n">
        <x:v>4</x:v>
      </x:c>
      <x:c r="L97" s="15" t="n">
        <x:v>0</x:v>
      </x:c>
      <x:c r="M97" s="15" t="n">
        <x:v>0</x:v>
      </x:c>
      <x:c r="N97" s="15" t="n">
        <x:v>0</x:v>
      </x:c>
      <x:c r="O97" s="15" t="str">
        <x:v>None</x:v>
      </x:c>
      <x:c r="P97" s="15" t="str">
        <x:v>Research blueprint</x:v>
      </x:c>
    </x:row>
    <x:row r="98" ht="34" customHeight="1">
      <x:c r="A98" s="14" t="n">
        <x:v>89</x:v>
      </x:c>
      <x:c r="B98" s="14" t="str">
        <x:v>Scrap workshop table</x:v>
      </x:c>
      <x:c r="C98" s="14" t="n">
        <x:v>3</x:v>
      </x:c>
      <x:c r="D98" s="26" t="n">
        <x:v>0</x:v>
      </x:c>
      <x:c r="E98" s="14" t="n">
        <x:v>3</x:v>
      </x:c>
      <x:c r="F98" s="14" t="n">
        <x:v>3</x:v>
      </x:c>
      <x:c r="G98" s="14" t="str">
        <x:v>Homesteader</x:v>
      </x:c>
      <x:c r="H98" s="14" t="n">
        <x:v>4</x:v>
      </x:c>
      <x:c r="I98" s="14" t="n">
        <x:v>0</x:v>
      </x:c>
      <x:c r="J98" s="14" t="n">
        <x:v>2</x:v>
      </x:c>
      <x:c r="K98" s="14" t="n">
        <x:v>0</x:v>
      </x:c>
      <x:c r="L98" s="14" t="n">
        <x:v>5</x:v>
      </x:c>
      <x:c r="M98" s="14" t="n">
        <x:v>0</x:v>
      </x:c>
      <x:c r="N98" s="14" t="n">
        <x:v>0</x:v>
      </x:c>
      <x:c r="O98" s="14" t="str">
        <x:v>Salvaged table</x:v>
      </x:c>
      <x:c r="P98" s="14" t="str">
        <x:v>Research blueprint</x:v>
      </x:c>
    </x:row>
    <x:row r="99" ht="34" customHeight="1">
      <x:c r="A99" s="15" t="n">
        <x:v>90</x:v>
      </x:c>
      <x:c r="B99" s="15" t="str">
        <x:v>Military footlocker</x:v>
      </x:c>
      <x:c r="C99" s="15" t="n">
        <x:v>5</x:v>
      </x:c>
      <x:c r="D99" s="26" t="n">
        <x:v>0</x:v>
      </x:c>
      <x:c r="E99" s="15" t="n">
        <x:v>5</x:v>
      </x:c>
      <x:c r="F99" s="15" t="n">
        <x:v>5</x:v>
      </x:c>
      <x:c r="G99" s="15" t="str">
        <x:v>Homesteader</x:v>
      </x:c>
      <x:c r="H99" s="15" t="n">
        <x:v>3</x:v>
      </x:c>
      <x:c r="I99" s="15" t="n">
        <x:v>0</x:v>
      </x:c>
      <x:c r="J99" s="15" t="n">
        <x:v>2</x:v>
      </x:c>
      <x:c r="K99" s="15" t="n">
        <x:v>0</x:v>
      </x:c>
      <x:c r="L99" s="15" t="n">
        <x:v>5</x:v>
      </x:c>
      <x:c r="M99" s="15" t="n">
        <x:v>0</x:v>
      </x:c>
      <x:c r="N99" s="15" t="n">
        <x:v>7</x:v>
      </x:c>
      <x:c r="O99" s="15" t="str">
        <x:v>Large storage locker</x:v>
      </x:c>
      <x:c r="P99" s="15" t="str">
        <x:v>Research blueprint</x:v>
      </x:c>
    </x:row>
    <x:row r="100" ht="34" customHeight="1">
      <x:c r="A100" s="14" t="n">
        <x:v>91</x:v>
      </x:c>
      <x:c r="B100" s="14" t="str">
        <x:v>Rough timber door wall</x:v>
      </x:c>
      <x:c r="C100" s="14" t="n">
        <x:v>1</x:v>
      </x:c>
      <x:c r="D100" s="26" t="n">
        <x:v>0</x:v>
      </x:c>
      <x:c r="E100" s="14" t="n">
        <x:v>0</x:v>
      </x:c>
      <x:c r="F100" s="14" t="n">
        <x:v>0</x:v>
      </x:c>
      <x:c r="G100" s="14" t="str">
        <x:v>Homesteader</x:v>
      </x:c>
      <x:c r="H100" s="14" t="n">
        <x:v>5</x:v>
      </x:c>
      <x:c r="I100" s="14" t="n">
        <x:v>0</x:v>
      </x:c>
      <x:c r="J100" s="14" t="n">
        <x:v>1</x:v>
      </x:c>
      <x:c r="K100" s="14" t="n">
        <x:v>0</x:v>
      </x:c>
      <x:c r="L100" s="14" t="n">
        <x:v>0</x:v>
      </x:c>
      <x:c r="M100" s="14" t="n">
        <x:v>0</x:v>
      </x:c>
      <x:c r="N100" s="14" t="n">
        <x:v>0</x:v>
      </x:c>
      <x:c r="O100" s="14" t="str">
        <x:v>Wall</x:v>
      </x:c>
      <x:c r="P100" s="14" t="str">
        <x:v>Free blueprint</x:v>
      </x:c>
    </x:row>
    <x:row r="101" ht="34" customHeight="1">
      <x:c r="A101" s="15" t="n">
        <x:v>92</x:v>
      </x:c>
      <x:c r="B101" s="15" t="str">
        <x:v>Rough timber window wall</x:v>
      </x:c>
      <x:c r="C101" s="15" t="n">
        <x:v>1</x:v>
      </x:c>
      <x:c r="D101" s="26" t="n">
        <x:v>0</x:v>
      </x:c>
      <x:c r="E101" s="15" t="n">
        <x:v>0</x:v>
      </x:c>
      <x:c r="F101" s="15" t="n">
        <x:v>0</x:v>
      </x:c>
      <x:c r="G101" s="15" t="str">
        <x:v>Homesteader</x:v>
      </x:c>
      <x:c r="H101" s="15" t="n">
        <x:v>4</x:v>
      </x:c>
      <x:c r="I101" s="15" t="n">
        <x:v>0</x:v>
      </x:c>
      <x:c r="J101" s="15" t="n">
        <x:v>1</x:v>
      </x:c>
      <x:c r="K101" s="15" t="n">
        <x:v>0</x:v>
      </x:c>
      <x:c r="L101" s="15" t="n">
        <x:v>0</x:v>
      </x:c>
      <x:c r="M101" s="15" t="n">
        <x:v>0</x:v>
      </x:c>
      <x:c r="N101" s="15" t="n">
        <x:v>0</x:v>
      </x:c>
      <x:c r="O101" s="15" t="str">
        <x:v>Wall</x:v>
      </x:c>
      <x:c r="P101" s="15" t="str">
        <x:v>Free blueprint</x:v>
      </x:c>
    </x:row>
    <x:row r="102" ht="34" customHeight="1">
      <x:c r="A102" s="14" t="n">
        <x:v>93</x:v>
      </x:c>
      <x:c r="B102" s="14" t="str">
        <x:v>Timber palisade gate</x:v>
      </x:c>
      <x:c r="C102" s="14" t="n">
        <x:v>1</x:v>
      </x:c>
      <x:c r="D102" s="26" t="n">
        <x:v>0</x:v>
      </x:c>
      <x:c r="E102" s="14" t="n">
        <x:v>0</x:v>
      </x:c>
      <x:c r="F102" s="14" t="n">
        <x:v>0</x:v>
      </x:c>
      <x:c r="G102" s="14" t="str">
        <x:v>Fortifier</x:v>
      </x:c>
      <x:c r="H102" s="14" t="n">
        <x:v>12</x:v>
      </x:c>
      <x:c r="I102" s="14" t="n">
        <x:v>0</x:v>
      </x:c>
      <x:c r="J102" s="14" t="n">
        <x:v>3</x:v>
      </x:c>
      <x:c r="K102" s="14" t="n">
        <x:v>0</x:v>
      </x:c>
      <x:c r="L102" s="14" t="n">
        <x:v>0</x:v>
      </x:c>
      <x:c r="M102" s="14" t="n">
        <x:v>0</x:v>
      </x:c>
      <x:c r="N102" s="14" t="n">
        <x:v>0</x:v>
      </x:c>
      <x:c r="O102" s="14" t="str">
        <x:v>None</x:v>
      </x:c>
      <x:c r="P102" s="14" t="str">
        <x:v>Free blueprint</x:v>
      </x:c>
    </x:row>
    <x:row r="103" ht="34" customHeight="1">
      <x:c r="A103" s="15" t="n">
        <x:v>94</x:v>
      </x:c>
      <x:c r="B103" s="15" t="str">
        <x:v>Stone-braced door wall</x:v>
      </x:c>
      <x:c r="C103" s="15" t="n">
        <x:v>2</x:v>
      </x:c>
      <x:c r="D103" s="26" t="n">
        <x:v>0</x:v>
      </x:c>
      <x:c r="E103" s="15" t="n">
        <x:v>2</x:v>
      </x:c>
      <x:c r="F103" s="15" t="n">
        <x:v>2</x:v>
      </x:c>
      <x:c r="G103" s="15" t="str">
        <x:v>Homesteader</x:v>
      </x:c>
      <x:c r="H103" s="15" t="n">
        <x:v>4</x:v>
      </x:c>
      <x:c r="I103" s="15" t="n">
        <x:v>4</x:v>
      </x:c>
      <x:c r="J103" s="15" t="n">
        <x:v>1</x:v>
      </x:c>
      <x:c r="K103" s="15" t="n">
        <x:v>2</x:v>
      </x:c>
      <x:c r="L103" s="15" t="n">
        <x:v>0</x:v>
      </x:c>
      <x:c r="M103" s="15" t="n">
        <x:v>0</x:v>
      </x:c>
      <x:c r="N103" s="15" t="n">
        <x:v>0</x:v>
      </x:c>
      <x:c r="O103" s="15" t="str">
        <x:v>Stone-braced wall</x:v>
      </x:c>
      <x:c r="P103" s="15" t="str">
        <x:v>Uses same-tier wall unlock</x:v>
      </x:c>
    </x:row>
    <x:row r="104" ht="34" customHeight="1">
      <x:c r="A104" s="14" t="n">
        <x:v>95</x:v>
      </x:c>
      <x:c r="B104" s="14" t="str">
        <x:v>Stone-post timber gate</x:v>
      </x:c>
      <x:c r="C104" s="14" t="n">
        <x:v>2</x:v>
      </x:c>
      <x:c r="D104" s="26" t="n">
        <x:v>0</x:v>
      </x:c>
      <x:c r="E104" s="14" t="n">
        <x:v>2</x:v>
      </x:c>
      <x:c r="F104" s="14" t="n">
        <x:v>2</x:v>
      </x:c>
      <x:c r="G104" s="14" t="str">
        <x:v>Fortifier</x:v>
      </x:c>
      <x:c r="H104" s="14" t="n">
        <x:v>12</x:v>
      </x:c>
      <x:c r="I104" s="14" t="n">
        <x:v>10</x:v>
      </x:c>
      <x:c r="J104" s="14" t="n">
        <x:v>2</x:v>
      </x:c>
      <x:c r="K104" s="14" t="n">
        <x:v>3</x:v>
      </x:c>
      <x:c r="L104" s="14" t="n">
        <x:v>0</x:v>
      </x:c>
      <x:c r="M104" s="14" t="n">
        <x:v>0</x:v>
      </x:c>
      <x:c r="N104" s="14" t="n">
        <x:v>0</x:v>
      </x:c>
      <x:c r="O104" s="14" t="str">
        <x:v>Timber palisade gate</x:v>
      </x:c>
      <x:c r="P104" s="14" t="str">
        <x:v>Research blueprint</x:v>
      </x:c>
    </x:row>
    <x:row r="105" ht="34" customHeight="1">
      <x:c r="A105" s="15" t="n">
        <x:v>96</x:v>
      </x:c>
      <x:c r="B105" s="15" t="str">
        <x:v>Scrap steel door wall</x:v>
      </x:c>
      <x:c r="C105" s="15" t="n">
        <x:v>3</x:v>
      </x:c>
      <x:c r="D105" s="26" t="n">
        <x:v>0</x:v>
      </x:c>
      <x:c r="E105" s="15" t="n">
        <x:v>3</x:v>
      </x:c>
      <x:c r="F105" s="15" t="n">
        <x:v>3</x:v>
      </x:c>
      <x:c r="G105" s="15" t="str">
        <x:v>Homesteader</x:v>
      </x:c>
      <x:c r="H105" s="15" t="n">
        <x:v>2</x:v>
      </x:c>
      <x:c r="I105" s="15" t="n">
        <x:v>0</x:v>
      </x:c>
      <x:c r="J105" s="15" t="n">
        <x:v>1</x:v>
      </x:c>
      <x:c r="K105" s="15" t="n">
        <x:v>0</x:v>
      </x:c>
      <x:c r="L105" s="15" t="n">
        <x:v>5</x:v>
      </x:c>
      <x:c r="M105" s="15" t="n">
        <x:v>0</x:v>
      </x:c>
      <x:c r="N105" s="15" t="n">
        <x:v>0</x:v>
      </x:c>
      <x:c r="O105" s="15" t="str">
        <x:v>Scrap steel wall</x:v>
      </x:c>
      <x:c r="P105" s="15" t="str">
        <x:v>Uses same-tier wall unlock</x:v>
      </x:c>
    </x:row>
    <x:row r="106" ht="34" customHeight="1">
      <x:c r="A106" s="14" t="n">
        <x:v>97</x:v>
      </x:c>
      <x:c r="B106" s="14" t="str">
        <x:v>Scrap steel window wall</x:v>
      </x:c>
      <x:c r="C106" s="14" t="n">
        <x:v>3</x:v>
      </x:c>
      <x:c r="D106" s="26" t="n">
        <x:v>0</x:v>
      </x:c>
      <x:c r="E106" s="14" t="n">
        <x:v>3</x:v>
      </x:c>
      <x:c r="F106" s="14" t="n">
        <x:v>3</x:v>
      </x:c>
      <x:c r="G106" s="14" t="str">
        <x:v>Homesteader</x:v>
      </x:c>
      <x:c r="H106" s="14" t="n">
        <x:v>2</x:v>
      </x:c>
      <x:c r="I106" s="14" t="n">
        <x:v>0</x:v>
      </x:c>
      <x:c r="J106" s="14" t="n">
        <x:v>1</x:v>
      </x:c>
      <x:c r="K106" s="14" t="n">
        <x:v>0</x:v>
      </x:c>
      <x:c r="L106" s="14" t="n">
        <x:v>4</x:v>
      </x:c>
      <x:c r="M106" s="14" t="n">
        <x:v>0</x:v>
      </x:c>
      <x:c r="N106" s="14" t="n">
        <x:v>0</x:v>
      </x:c>
      <x:c r="O106" s="14" t="str">
        <x:v>Scrap steel wall</x:v>
      </x:c>
      <x:c r="P106" s="14" t="str">
        <x:v>Uses same-tier wall unlock</x:v>
      </x:c>
    </x:row>
    <x:row r="107" ht="34" customHeight="1">
      <x:c r="A107" s="15" t="n">
        <x:v>98</x:v>
      </x:c>
      <x:c r="B107" s="15" t="str">
        <x:v>Scrap steel perimeter gate</x:v>
      </x:c>
      <x:c r="C107" s="15" t="n">
        <x:v>3</x:v>
      </x:c>
      <x:c r="D107" s="26" t="n">
        <x:v>0</x:v>
      </x:c>
      <x:c r="E107" s="15" t="n">
        <x:v>3</x:v>
      </x:c>
      <x:c r="F107" s="15" t="n">
        <x:v>3</x:v>
      </x:c>
      <x:c r="G107" s="15" t="str">
        <x:v>Fortifier</x:v>
      </x:c>
      <x:c r="H107" s="15" t="n">
        <x:v>3</x:v>
      </x:c>
      <x:c r="I107" s="15" t="n">
        <x:v>0</x:v>
      </x:c>
      <x:c r="J107" s="15" t="n">
        <x:v>1</x:v>
      </x:c>
      <x:c r="K107" s="15" t="n">
        <x:v>0</x:v>
      </x:c>
      <x:c r="L107" s="15" t="n">
        <x:v>12</x:v>
      </x:c>
      <x:c r="M107" s="15" t="n">
        <x:v>0</x:v>
      </x:c>
      <x:c r="N107" s="15" t="n">
        <x:v>0</x:v>
      </x:c>
      <x:c r="O107" s="15" t="str">
        <x:v>Stone-post timber gate</x:v>
      </x:c>
      <x:c r="P107" s="15" t="str">
        <x:v>Research blueprint</x:v>
      </x:c>
    </x:row>
    <x:row r="108" ht="34" customHeight="1">
      <x:c r="A108" s="14" t="n">
        <x:v>99</x:v>
      </x:c>
      <x:c r="B108" s="14" t="str">
        <x:v>Reinforced concrete door wall</x:v>
      </x:c>
      <x:c r="C108" s="14" t="n">
        <x:v>4</x:v>
      </x:c>
      <x:c r="D108" s="26" t="n">
        <x:v>0</x:v>
      </x:c>
      <x:c r="E108" s="14" t="n">
        <x:v>4</x:v>
      </x:c>
      <x:c r="F108" s="14" t="n">
        <x:v>4</x:v>
      </x:c>
      <x:c r="G108" s="14" t="str">
        <x:v>Homesteader</x:v>
      </x:c>
      <x:c r="H108" s="14" t="n">
        <x:v>0</x:v>
      </x:c>
      <x:c r="I108" s="14" t="n">
        <x:v>8</x:v>
      </x:c>
      <x:c r="J108" s="14" t="n">
        <x:v>0</x:v>
      </x:c>
      <x:c r="K108" s="14" t="n">
        <x:v>0</x:v>
      </x:c>
      <x:c r="L108" s="14" t="n">
        <x:v>5</x:v>
      </x:c>
      <x:c r="M108" s="14" t="n">
        <x:v>2</x:v>
      </x:c>
      <x:c r="N108" s="14" t="n">
        <x:v>0</x:v>
      </x:c>
      <x:c r="O108" s="14" t="str">
        <x:v>Reinforced concrete wall</x:v>
      </x:c>
      <x:c r="P108" s="14" t="str">
        <x:v>Uses same-tier wall unlock</x:v>
      </x:c>
    </x:row>
    <x:row r="109" ht="34" customHeight="1">
      <x:c r="A109" s="15" t="n">
        <x:v>100</x:v>
      </x:c>
      <x:c r="B109" s="15" t="str">
        <x:v>Reinforced concrete window wall</x:v>
      </x:c>
      <x:c r="C109" s="15" t="n">
        <x:v>4</x:v>
      </x:c>
      <x:c r="D109" s="26" t="n">
        <x:v>0</x:v>
      </x:c>
      <x:c r="E109" s="15" t="n">
        <x:v>4</x:v>
      </x:c>
      <x:c r="F109" s="15" t="n">
        <x:v>4</x:v>
      </x:c>
      <x:c r="G109" s="15" t="str">
        <x:v>Homesteader</x:v>
      </x:c>
      <x:c r="H109" s="15" t="n">
        <x:v>0</x:v>
      </x:c>
      <x:c r="I109" s="15" t="n">
        <x:v>8</x:v>
      </x:c>
      <x:c r="J109" s="15" t="n">
        <x:v>0</x:v>
      </x:c>
      <x:c r="K109" s="15" t="n">
        <x:v>0</x:v>
      </x:c>
      <x:c r="L109" s="15" t="n">
        <x:v>4</x:v>
      </x:c>
      <x:c r="M109" s="15" t="n">
        <x:v>1</x:v>
      </x:c>
      <x:c r="N109" s="15" t="n">
        <x:v>0</x:v>
      </x:c>
      <x:c r="O109" s="15" t="str">
        <x:v>Reinforced concrete wall</x:v>
      </x:c>
      <x:c r="P109" s="15" t="str">
        <x:v>Uses same-tier wall unlock</x:v>
      </x:c>
    </x:row>
    <x:row r="110" ht="34" customHeight="1">
      <x:c r="A110" s="14" t="n">
        <x:v>101</x:v>
      </x:c>
      <x:c r="B110" s="14" t="str">
        <x:v>Concrete bastion gate</x:v>
      </x:c>
      <x:c r="C110" s="14" t="n">
        <x:v>4</x:v>
      </x:c>
      <x:c r="D110" s="26" t="n">
        <x:v>0</x:v>
      </x:c>
      <x:c r="E110" s="14" t="n">
        <x:v>4</x:v>
      </x:c>
      <x:c r="F110" s="14" t="n">
        <x:v>4</x:v>
      </x:c>
      <x:c r="G110" s="14" t="str">
        <x:v>Fortifier</x:v>
      </x:c>
      <x:c r="H110" s="14" t="n">
        <x:v>0</x:v>
      </x:c>
      <x:c r="I110" s="14" t="n">
        <x:v>12</x:v>
      </x:c>
      <x:c r="J110" s="14" t="n">
        <x:v>0</x:v>
      </x:c>
      <x:c r="K110" s="14" t="n">
        <x:v>0</x:v>
      </x:c>
      <x:c r="L110" s="14" t="n">
        <x:v>12</x:v>
      </x:c>
      <x:c r="M110" s="14" t="n">
        <x:v>4</x:v>
      </x:c>
      <x:c r="N110" s="14" t="n">
        <x:v>0</x:v>
      </x:c>
      <x:c r="O110" s="14" t="str">
        <x:v>Scrap steel perimeter gate</x:v>
      </x:c>
      <x:c r="P110" s="14" t="str">
        <x:v>Research blueprint</x:v>
      </x:c>
    </x:row>
    <x:row r="111" ht="34" customHeight="1">
      <x:c r="A111" s="15" t="n">
        <x:v>102</x:v>
      </x:c>
      <x:c r="B111" s="15" t="str">
        <x:v>Military door wall</x:v>
      </x:c>
      <x:c r="C111" s="15" t="n">
        <x:v>5</x:v>
      </x:c>
      <x:c r="D111" s="26" t="n">
        <x:v>0</x:v>
      </x:c>
      <x:c r="E111" s="15" t="n">
        <x:v>5</x:v>
      </x:c>
      <x:c r="F111" s="15" t="n">
        <x:v>5</x:v>
      </x:c>
      <x:c r="G111" s="15" t="str">
        <x:v>Homesteader</x:v>
      </x:c>
      <x:c r="H111" s="15" t="n">
        <x:v>0</x:v>
      </x:c>
      <x:c r="I111" s="15" t="n">
        <x:v>0</x:v>
      </x:c>
      <x:c r="J111" s="15" t="n">
        <x:v>0</x:v>
      </x:c>
      <x:c r="K111" s="15" t="n">
        <x:v>0</x:v>
      </x:c>
      <x:c r="L111" s="15" t="n">
        <x:v>10</x:v>
      </x:c>
      <x:c r="M111" s="15" t="n">
        <x:v>1</x:v>
      </x:c>
      <x:c r="N111" s="15" t="n">
        <x:v>3</x:v>
      </x:c>
      <x:c r="O111" s="15" t="str">
        <x:v>Military wall</x:v>
      </x:c>
      <x:c r="P111" s="15" t="str">
        <x:v>Uses same-tier wall unlock</x:v>
      </x:c>
    </x:row>
    <x:row r="112" ht="34" customHeight="1">
      <x:c r="A112" s="14" t="n">
        <x:v>103</x:v>
      </x:c>
      <x:c r="B112" s="14" t="str">
        <x:v>Military window wall</x:v>
      </x:c>
      <x:c r="C112" s="14" t="n">
        <x:v>5</x:v>
      </x:c>
      <x:c r="D112" s="26" t="n">
        <x:v>0</x:v>
      </x:c>
      <x:c r="E112" s="14" t="n">
        <x:v>5</x:v>
      </x:c>
      <x:c r="F112" s="14" t="n">
        <x:v>5</x:v>
      </x:c>
      <x:c r="G112" s="14" t="str">
        <x:v>Homesteader</x:v>
      </x:c>
      <x:c r="H112" s="14" t="n">
        <x:v>0</x:v>
      </x:c>
      <x:c r="I112" s="14" t="n">
        <x:v>0</x:v>
      </x:c>
      <x:c r="J112" s="14" t="n">
        <x:v>0</x:v>
      </x:c>
      <x:c r="K112" s="14" t="n">
        <x:v>0</x:v>
      </x:c>
      <x:c r="L112" s="14" t="n">
        <x:v>8</x:v>
      </x:c>
      <x:c r="M112" s="14" t="n">
        <x:v>1</x:v>
      </x:c>
      <x:c r="N112" s="14" t="n">
        <x:v>2</x:v>
      </x:c>
      <x:c r="O112" s="14" t="str">
        <x:v>Military wall</x:v>
      </x:c>
      <x:c r="P112" s="14" t="str">
        <x:v>Uses same-tier wall unlock</x:v>
      </x:c>
    </x:row>
    <x:row r="113" ht="34" customHeight="1">
      <x:c r="A113" s="15" t="n">
        <x:v>104</x:v>
      </x:c>
      <x:c r="B113" s="15" t="str">
        <x:v>Military checkpoint gate</x:v>
      </x:c>
      <x:c r="C113" s="15" t="n">
        <x:v>5</x:v>
      </x:c>
      <x:c r="D113" s="26" t="n">
        <x:v>0</x:v>
      </x:c>
      <x:c r="E113" s="15" t="n">
        <x:v>5</x:v>
      </x:c>
      <x:c r="F113" s="15" t="n">
        <x:v>5</x:v>
      </x:c>
      <x:c r="G113" s="15" t="str">
        <x:v>Fortifier</x:v>
      </x:c>
      <x:c r="H113" s="15" t="n">
        <x:v>0</x:v>
      </x:c>
      <x:c r="I113" s="15" t="n">
        <x:v>0</x:v>
      </x:c>
      <x:c r="J113" s="15" t="n">
        <x:v>0</x:v>
      </x:c>
      <x:c r="K113" s="15" t="n">
        <x:v>0</x:v>
      </x:c>
      <x:c r="L113" s="15" t="n">
        <x:v>18</x:v>
      </x:c>
      <x:c r="M113" s="15" t="n">
        <x:v>4</x:v>
      </x:c>
      <x:c r="N113" s="15" t="n">
        <x:v>6</x:v>
      </x:c>
      <x:c r="O113" s="15" t="str">
        <x:v>Concrete bastion gate</x:v>
      </x:c>
      <x:c r="P113" s="15" t="str">
        <x:v>Research blueprint</x:v>
      </x:c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</x:row>
    <x:row r="116">
      <x:c r="A116" s="20" t="str">
        <x:v>Workshop 0 means hand building. Listed research points are the recipe cost; shared door/window unlocks need no separate purchase after their wall is known.</x:v>
      </x:c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</x:row>
    <x:row r="117">
      <x:c r="A117" s="20" t="str">
        <x:v>T3+ research permanently selects a specialization in its tab. Research budget: 48 points per character; this catalogue is not an all-unlocks progression plan.</x:v>
      </x:c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</x:row>
    <x:row r="118">
      <x:c r="A118" s="20" t="str">
        <x:v>All pieces also require exploration/material access at their tier. The main structural pieces IDs 0–7 and T1 decorations/openings are free blueprints.</x:v>
      </x:c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</x:row>
    <x:row r="119">
      <x:c r="A119" s="20" t="str">
        <x:v>Gates have their own prior-tier gate prerequisite. Door/window walls share the matching tier structural wall prerequisite.</x:v>
      </x:c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</x:row>
    <x:row r="120">
      <x:c r="A120" s="20" t="str">
        <x:v>Sources: game/Scripts/Logic/ExpeditionBlueprints.cs; ExpeditionResearchProgress.cs; ExpeditionResearchChoices.cs; ExpeditionWeaponWorkshop.cs; ExpeditionOpenings.cs.</x:v>
      </x:c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</x:row>
  </x:sheetData>
  <x:dataValidations count="1">
    <x:dataValidation type="whole" operator="between" sqref="D9:D113">
      <x:formula1>0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dedb6090cfc4960"/>
  </x:tableParts>
</x:worksheet>
</file>

<file path=xl/worksheets/sheet3.xml><?xml version="1.0" encoding="utf-8"?>
<x:worksheet xmlns:x="http://schemas.openxmlformats.org/spreadsheetml/2006/main">
  <x:sheetPr>
    <x:tabColor rgb="FF26332C"/>
  </x:sheetPr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23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5" t="str">
        <x:v>Workshop progression and building rules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7" t="str">
        <x:v>Workshop upgrades are separate recipes, not additional placeable entries in the 105-piece catalogue.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</x:row>
    <x:row r="7" ht="36" customHeight="1">
      <x:c r="A7" s="13" t="str">
        <x:v>Upgrade</x:v>
      </x:c>
      <x:c r="B7" s="13" t="str">
        <x:v>Unlocks workshop tier</x:v>
      </x:c>
      <x:c r="C7" s="13" t="str">
        <x:v>Existing workshop</x:v>
      </x:c>
      <x:c r="D7" s="13" t="str">
        <x:v>Timber</x:v>
      </x:c>
      <x:c r="E7" s="13" t="str">
        <x:v>Stone</x:v>
      </x:c>
      <x:c r="F7" s="13" t="str">
        <x:v>Fiber</x:v>
      </x:c>
      <x:c r="G7" s="13" t="str">
        <x:v>Forest resin</x:v>
      </x:c>
      <x:c r="H7" s="13" t="str">
        <x:v>Alloy scrap</x:v>
      </x:c>
      <x:c r="I7" s="13" t="str">
        <x:v>Electronics</x:v>
      </x:c>
      <x:c r="J7" s="13" t="str">
        <x:v>Bioalloy</x:v>
      </x:c>
    </x:row>
    <x:row r="8" ht="34" customHeight="1">
      <x:c r="A8" s="15" t="str">
        <x:v>Starter workbench</x:v>
      </x:c>
      <x:c r="B8" s="15" t="n">
        <x:v>1</x:v>
      </x:c>
      <x:c r="C8" s="15" t="n">
        <x:v>0</x:v>
      </x:c>
      <x:c r="D8" s="15" t="n">
        <x:v>6</x:v>
      </x:c>
      <x:c r="E8" s="15" t="n">
        <x:v>4</x:v>
      </x:c>
      <x:c r="F8" s="15" t="n">
        <x:v>0</x:v>
      </x:c>
      <x:c r="G8" s="15" t="n">
        <x:v>0</x:v>
      </x:c>
      <x:c r="H8" s="15" t="n">
        <x:v>0</x:v>
      </x:c>
      <x:c r="I8" s="15" t="n">
        <x:v>0</x:v>
      </x:c>
      <x:c r="J8" s="15" t="n">
        <x:v>0</x:v>
      </x:c>
    </x:row>
    <x:row r="9" ht="34" customHeight="1">
      <x:c r="A9" s="14" t="str">
        <x:v>Workshop upgrade</x:v>
      </x:c>
      <x:c r="B9" s="14" t="n">
        <x:v>2</x:v>
      </x:c>
      <x:c r="C9" s="14" t="n">
        <x:v>1</x:v>
      </x:c>
      <x:c r="D9" s="14" t="n">
        <x:v>8</x:v>
      </x:c>
      <x:c r="E9" s="14" t="n">
        <x:v>4</x:v>
      </x:c>
      <x:c r="F9" s="14" t="n">
        <x:v>2</x:v>
      </x:c>
      <x:c r="G9" s="14" t="n">
        <x:v>5</x:v>
      </x:c>
      <x:c r="H9" s="14" t="n">
        <x:v>0</x:v>
      </x:c>
      <x:c r="I9" s="14" t="n">
        <x:v>0</x:v>
      </x:c>
      <x:c r="J9" s="14" t="n">
        <x:v>0</x:v>
      </x:c>
    </x:row>
    <x:row r="10" ht="34" customHeight="1">
      <x:c r="A10" s="15" t="str">
        <x:v>Industrial upgrade</x:v>
      </x:c>
      <x:c r="B10" s="15" t="n">
        <x:v>3</x:v>
      </x:c>
      <x:c r="C10" s="15" t="n">
        <x:v>2</x:v>
      </x:c>
      <x:c r="D10" s="15" t="n">
        <x:v>8</x:v>
      </x:c>
      <x:c r="E10" s="15" t="n">
        <x:v>6</x:v>
      </x:c>
      <x:c r="F10" s="15" t="n">
        <x:v>0</x:v>
      </x:c>
      <x:c r="G10" s="15" t="n">
        <x:v>3</x:v>
      </x:c>
      <x:c r="H10" s="15" t="n">
        <x:v>6</x:v>
      </x:c>
      <x:c r="I10" s="15" t="n">
        <x:v>0</x:v>
      </x:c>
      <x:c r="J10" s="15" t="n">
        <x:v>0</x:v>
      </x:c>
    </x:row>
    <x:row r="11" ht="34" customHeight="1">
      <x:c r="A11" s="14" t="str">
        <x:v>Advanced upgrade</x:v>
      </x:c>
      <x:c r="B11" s="14" t="n">
        <x:v>4</x:v>
      </x:c>
      <x:c r="C11" s="14" t="n">
        <x:v>3</x:v>
      </x:c>
      <x:c r="D11" s="14" t="n">
        <x:v>4</x:v>
      </x:c>
      <x:c r="E11" s="14" t="n">
        <x:v>4</x:v>
      </x:c>
      <x:c r="F11" s="14" t="n">
        <x:v>0</x:v>
      </x:c>
      <x:c r="G11" s="14" t="n">
        <x:v>0</x:v>
      </x:c>
      <x:c r="H11" s="14" t="n">
        <x:v>6</x:v>
      </x:c>
      <x:c r="I11" s="14" t="n">
        <x:v>6</x:v>
      </x:c>
      <x:c r="J11" s="14" t="n">
        <x:v>0</x:v>
      </x:c>
    </x:row>
    <x:row r="12" ht="34" customHeight="1">
      <x:c r="A12" s="15" t="str">
        <x:v>Experimental upgrade</x:v>
      </x:c>
      <x:c r="B12" s="15" t="n">
        <x:v>5</x:v>
      </x:c>
      <x:c r="C12" s="15" t="n">
        <x:v>4</x:v>
      </x:c>
      <x:c r="D12" s="15" t="n">
        <x:v>0</x:v>
      </x:c>
      <x:c r="E12" s="15" t="n">
        <x:v>0</x:v>
      </x:c>
      <x:c r="F12" s="15" t="n">
        <x:v>0</x:v>
      </x:c>
      <x:c r="G12" s="15" t="n">
        <x:v>0</x:v>
      </x:c>
      <x:c r="H12" s="15" t="n">
        <x:v>4</x:v>
      </x:c>
      <x:c r="I12" s="15" t="n">
        <x:v>4</x:v>
      </x:c>
      <x:c r="J12" s="15" t="n">
        <x:v>6</x:v>
      </x:c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</x:row>
    <x:row r="16" ht="28" customHeight="1">
      <x:c r="A16" s="10" t="str">
        <x:v>Rule</x:v>
      </x:c>
      <x:c r="B16" s="10" t="str">
        <x:v>Current behavior</x:v>
      </x:c>
      <x:c r="C16" s="10"/>
      <x:c r="D16" s="10"/>
      <x:c r="E16" s="10"/>
      <x:c r="F16" s="10"/>
      <x:c r="G16" s="10"/>
      <x:c r="H16" s="10"/>
      <x:c r="I16" s="10"/>
      <x:c r="J16" s="10"/>
    </x:row>
    <x:row r="17" ht="44" customHeight="1">
      <x:c r="A17" s="3" t="str">
        <x:v>Support starts at terrain</x:v>
      </x:c>
      <x:c r="B17" s="27" t="str">
        <x:v>A ground-eligible piece anchors only if all four sampled footprint corners sit no more than 0.15m above or 0.65m below the terrain.</x:v>
      </x:c>
      <x:c r="C17" s="27"/>
      <x:c r="D17" s="27"/>
      <x:c r="E17" s="27"/>
      <x:c r="F17" s="27"/>
      <x:c r="G17" s="27"/>
      <x:c r="H17" s="27"/>
      <x:c r="I17" s="27"/>
      <x:c r="J17" s="27"/>
    </x:row>
    <x:row r="18" ht="44" customHeight="1">
      <x:c r="A18" s="3" t="str">
        <x:v>Support distance</x:v>
      </x:c>
      <x:c r="B18" s="27" t="str">
        <x:v>Strength starts at 100 and loses 8 + 12 × horizontal distance + 12 × positive centre-height rise along each connected support link.</x:v>
      </x:c>
      <x:c r="C18" s="27"/>
      <x:c r="D18" s="27"/>
      <x:c r="E18" s="27"/>
      <x:c r="F18" s="27"/>
      <x:c r="G18" s="27"/>
      <x:c r="H18" s="27"/>
      <x:c r="I18" s="27"/>
      <x:c r="J18" s="27"/>
    </x:row>
    <x:row r="19" ht="44" customHeight="1">
      <x:c r="A19" s="3" t="str">
        <x:v>Placement validity</x:v>
      </x:c>
      <x:c r="B19" s="27" t="str">
        <x:v>Every piece needs support strength of at least 1. Connected pieces must touch within the building tolerances.</x:v>
      </x:c>
      <x:c r="C19" s="27"/>
      <x:c r="D19" s="27"/>
      <x:c r="E19" s="27"/>
      <x:c r="F19" s="27"/>
      <x:c r="G19" s="27"/>
      <x:c r="H19" s="27"/>
      <x:c r="I19" s="27"/>
      <x:c r="J19" s="27"/>
    </x:row>
    <x:row r="20" ht="44" customHeight="1">
      <x:c r="A20" s="3" t="str">
        <x:v>Weight</x:v>
      </x:c>
      <x:c r="B20" s="27" t="str">
        <x:v>Each piece carries its own weight plus loads routed to it through its child support links. Exceeding capacity makes the layout invalid.</x:v>
      </x:c>
      <x:c r="C20" s="27"/>
      <x:c r="D20" s="27"/>
      <x:c r="E20" s="27"/>
      <x:c r="F20" s="27"/>
      <x:c r="G20" s="27"/>
      <x:c r="H20" s="27"/>
      <x:c r="I20" s="27"/>
      <x:c r="J20" s="27"/>
    </x:row>
    <x:row r="21" ht="44" customHeight="1">
      <x:c r="A21" s="3" t="str">
        <x:v>Removing supports</x:v>
      </x:c>
      <x:c r="B21" s="27" t="str">
        <x:v>Manual removal is rejected if it would leave an unsupported or overloaded structure.</x:v>
      </x:c>
      <x:c r="C21" s="27"/>
      <x:c r="D21" s="27"/>
      <x:c r="E21" s="27"/>
      <x:c r="F21" s="27"/>
      <x:c r="G21" s="27"/>
      <x:c r="H21" s="27"/>
      <x:c r="I21" s="27"/>
      <x:c r="J21" s="27"/>
    </x:row>
    <x:row r="22" ht="44" customHeight="1">
      <x:c r="A22" s="3" t="str">
        <x:v>Destroyed supports</x:v>
      </x:c>
      <x:c r="B22" s="27" t="str">
        <x:v>Enemy destruction can cause unsupported or overloaded pieces to collapse.</x:v>
      </x:c>
      <x:c r="C22" s="27"/>
      <x:c r="D22" s="27"/>
      <x:c r="E22" s="27"/>
      <x:c r="F22" s="27"/>
      <x:c r="G22" s="27"/>
      <x:c r="H22" s="27"/>
      <x:c r="I22" s="27"/>
      <x:c r="J22" s="27"/>
    </x:row>
    <x:row r="23" ht="44" customHeight="1">
      <x:c r="A23" s="3" t="str">
        <x:v>Doors and gates</x:v>
      </x:c>
      <x:c r="B23" s="27" t="str">
        <x:v>New tiered door walls and perimeter gates are manual at all tiers. Their swing needs clear space. Legacy T4+ doors need power.</x:v>
      </x:c>
      <x:c r="C23" s="27"/>
      <x:c r="D23" s="27"/>
      <x:c r="E23" s="27"/>
      <x:c r="F23" s="27"/>
      <x:c r="G23" s="27"/>
      <x:c r="H23" s="27"/>
      <x:c r="I23" s="27"/>
      <x:c r="J23" s="27"/>
    </x:row>
    <x:row r="24" ht="44" customHeight="1">
      <x:c r="A24" s="3" t="str">
        <x:v>Windows</x:v>
      </x:c>
      <x:c r="B24" s="27" t="str">
        <x:v>Real firing aperture with a sill and solid frame; advanced tiers include a mullion. Frames remain structural.</x:v>
      </x:c>
      <x:c r="C24" s="27"/>
      <x:c r="D24" s="27"/>
      <x:c r="E24" s="27"/>
      <x:c r="F24" s="27"/>
      <x:c r="G24" s="27"/>
      <x:c r="H24" s="27"/>
      <x:c r="I24" s="27"/>
      <x:c r="J24" s="27"/>
    </x:row>
    <x:row r="25" ht="44" customHeight="1">
      <x:c r="A25" s="3" t="str">
        <x:v>Production</x:v>
      </x:c>
      <x:c r="B25" s="27" t="str">
        <x:v>Water runs on a 120s cycle, drying on 240s and farming on 360s. Yield per cycle equals tier; stock cap is 20 × tier. Active play only.</x:v>
      </x:c>
      <x:c r="C25" s="27"/>
      <x:c r="D25" s="27"/>
      <x:c r="E25" s="27"/>
      <x:c r="F25" s="27"/>
      <x:c r="G25" s="27"/>
      <x:c r="H25" s="27"/>
      <x:c r="I25" s="27"/>
      <x:c r="J25" s="27"/>
    </x:row>
    <x:row r="26" ht="44" customHeight="1">
      <x:c r="A26" s="3" t="str">
        <x:v>Power</x:v>
      </x:c>
      <x:c r="B26" s="27" t="str">
        <x:v>Fueled generators supply equipment within 24m. T4+ production, electric defenses and T5 turrets need power. Modules can improve production.</x:v>
      </x:c>
      <x:c r="C26" s="27"/>
      <x:c r="D26" s="27"/>
      <x:c r="E26" s="27"/>
      <x:c r="F26" s="27"/>
      <x:c r="G26" s="27"/>
      <x:c r="H26" s="27"/>
      <x:c r="I26" s="27"/>
      <x:c r="J26" s="27"/>
    </x:row>
    <x:row r="27" ht="44" customHeight="1">
      <x:c r="A27" s="3" t="str">
        <x:v>Storage</x:v>
      </x:c>
      <x:c r="B27" s="27" t="str">
        <x:v>15 resource slots, each capped at 200 × storage tier. Shared world inventory. Powered refrigerators stop food spoilage.</x:v>
      </x:c>
      <x:c r="C27" s="27"/>
      <x:c r="D27" s="27"/>
      <x:c r="E27" s="27"/>
      <x:c r="F27" s="27"/>
      <x:c r="G27" s="27"/>
      <x:c r="H27" s="27"/>
      <x:c r="I27" s="27"/>
      <x:c r="J27" s="27"/>
    </x:row>
    <x:row r="28" ht="44" customHeight="1">
      <x:c r="A28" s="3" t="str">
        <x:v>Repair</x:v>
      </x:c>
      <x:c r="B28" s="27" t="str">
        <x:v>Repair any damaged placed piece for 2 timber. Vehicle repair station uses 3 alloy to repair nearby vehicles/mobile structures.</x:v>
      </x:c>
      <x:c r="C28" s="27"/>
      <x:c r="D28" s="27"/>
      <x:c r="E28" s="27"/>
      <x:c r="F28" s="27"/>
      <x:c r="G28" s="27"/>
      <x:c r="H28" s="27"/>
      <x:c r="I28" s="27"/>
      <x:c r="J28" s="27"/>
    </x:row>
    <x:row r="29" ht="44" customHeight="1">
      <x:c r="A29" s="3" t="str">
        <x:v>Camp residents</x:v>
      </x:c>
      <x:c r="B29" s="27" t="str">
        <x:v>Each resident needs a cot; shelter checks for a roof and two nearby walls. Furniture can personalize interiors.</x:v>
      </x:c>
      <x:c r="C29" s="27"/>
      <x:c r="D29" s="27"/>
      <x:c r="E29" s="27"/>
      <x:c r="F29" s="27"/>
      <x:c r="G29" s="27"/>
      <x:c r="H29" s="27"/>
      <x:c r="I29" s="27"/>
      <x:c r="J29" s="27"/>
    </x:row>
    <x:row r="30" ht="44" customHeight="1">
      <x:c r="A30" s="3" t="str">
        <x:v>Settlement scope</x:v>
      </x:c>
      <x:c r="B30" s="27" t="str">
        <x:v>The catalogue includes existing vehicle/trailer entries. Their further development is deferred; fixed settlement-site claiming is not implemented.</x:v>
      </x:c>
      <x:c r="C30" s="27"/>
      <x:c r="D30" s="27"/>
      <x:c r="E30" s="27"/>
      <x:c r="F30" s="27"/>
      <x:c r="G30" s="27"/>
      <x:c r="H30" s="27"/>
      <x:c r="I30" s="27"/>
      <x:c r="J30" s="27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>
      <x:c r="A33" s="20" t="str">
        <x:v>Sources: game/Scripts/Logic/ExpeditionBuildingRules.cs; ExpeditionCraftingRules.cs; game/Scripts/ExpeditionBaseSystems.cs; ExpeditionCommunity.cs.</x:v>
      </x:c>
      <x:c r="B33" s="3"/>
      <x:c r="C33" s="3"/>
      <x:c r="D33" s="3"/>
      <x:c r="E33" s="3"/>
      <x:c r="F33" s="3"/>
      <x:c r="G33" s="3"/>
      <x:c r="H33" s="3"/>
      <x:c r="I33" s="3"/>
      <x:c r="J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</x:row>
  </x:sheetData>
  <x:mergeCells>
    <x:mergeCell ref="B16:J16"/>
    <x:mergeCell ref="B17:J17"/>
    <x:mergeCell ref="B18:J18"/>
    <x:mergeCell ref="B19:J19"/>
    <x:mergeCell ref="B20:J20"/>
    <x:mergeCell ref="B21:J21"/>
    <x:mergeCell ref="B22:J22"/>
    <x:mergeCell ref="B23:J23"/>
    <x:mergeCell ref="B24:J24"/>
    <x:mergeCell ref="B25:J25"/>
    <x:mergeCell ref="B26:J26"/>
    <x:mergeCell ref="B27:J27"/>
    <x:mergeCell ref="B28:J28"/>
    <x:mergeCell ref="B29:J29"/>
    <x:mergeCell ref="B30:J30"/>
  </x:mergeCells>
  <x:pageMargins left="0.7" right="0.7" top="0.75" bottom="0.75" header="0.3" footer="0.3"/>
  <x:tableParts count="1">
    <x:tablePart xmlns:r="http://schemas.openxmlformats.org/officeDocument/2006/relationships" r:id="Rc5338f8ffd864486"/>
  </x:tableParts>
</x:worksheet>
</file>